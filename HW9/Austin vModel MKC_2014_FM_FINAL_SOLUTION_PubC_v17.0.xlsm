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drawings/drawing4.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drawings/drawing5.xml" ContentType="application/vnd.openxmlformats-officedocument.drawing+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along20\Desktop\"/>
    </mc:Choice>
  </mc:AlternateContent>
  <bookViews>
    <workbookView xWindow="0" yWindow="0" windowWidth="15345" windowHeight="4545" firstSheet="5" activeTab="14"/>
  </bookViews>
  <sheets>
    <sheet name="TTS" sheetId="131" r:id="rId1"/>
    <sheet name="inputs" sheetId="20" r:id="rId2"/>
    <sheet name="_CIQHiddenCacheSheet" sheetId="127" state="veryHidden" r:id="rId3"/>
    <sheet name="is" sheetId="1" r:id="rId4"/>
    <sheet name="bs" sheetId="3" r:id="rId5"/>
    <sheet name="cf" sheetId="9" r:id="rId6"/>
    <sheet name="workingcap" sheetId="53" r:id="rId7"/>
    <sheet name="dep" sheetId="76" r:id="rId8"/>
    <sheet name="amort" sheetId="83" r:id="rId9"/>
    <sheet name="other" sheetId="81" r:id="rId10"/>
    <sheet name="equity" sheetId="86" r:id="rId11"/>
    <sheet name="shares" sheetId="87" r:id="rId12"/>
    <sheet name="debt_interest" sheetId="88" r:id="rId13"/>
    <sheet name="DCF" sheetId="128" state="hidden" r:id="rId14"/>
    <sheet name="DCF_Completed" sheetId="129" r:id="rId15"/>
    <sheet name="reconciliations" sheetId="92" r:id="rId16"/>
    <sheet name="ratios" sheetId="78" r:id="rId17"/>
  </sheets>
  <definedNames>
    <definedName name="amort">amort!$A$1</definedName>
    <definedName name="bs">bs!$A$1</definedName>
    <definedName name="cf">cf!$A$1</definedName>
    <definedName name="days">workingcap!$G$25</definedName>
    <definedName name="DCF">DCF!$A$1</definedName>
    <definedName name="DCF_Completed">DCF_Completed!$A$1</definedName>
    <definedName name="debt">debt_interest!$A$1</definedName>
    <definedName name="dep">dep!$A$1</definedName>
    <definedName name="equity">equity!$A$1</definedName>
    <definedName name="FYE">inputs!$F$7</definedName>
    <definedName name="inputs">inputs!$A$1</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41865.6211111111</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s">is!$A$1</definedName>
    <definedName name="name">inputs!$F$3</definedName>
    <definedName name="other">other!$A$1</definedName>
    <definedName name="_xlnm.Print_Area" localSheetId="8">amort!$B$1:$P$19</definedName>
    <definedName name="_xlnm.Print_Area" localSheetId="4">bs!$B$1:$P$33</definedName>
    <definedName name="_xlnm.Print_Area" localSheetId="5">cf!$B$1:$P$34</definedName>
    <definedName name="_xlnm.Print_Area" localSheetId="13">DCF!$B$1:$R$61,DCF!$B$66:$Q$109</definedName>
    <definedName name="_xlnm.Print_Area" localSheetId="14">DCF_Completed!$B$1:$R$61,DCF_Completed!$B$66:$Q$109</definedName>
    <definedName name="_xlnm.Print_Area" localSheetId="12">debt_interest!$B$1:$Q$45</definedName>
    <definedName name="_xlnm.Print_Area" localSheetId="7">dep!$B$1:$P$20</definedName>
    <definedName name="_xlnm.Print_Area" localSheetId="10">equity!$B$1:$Q$31</definedName>
    <definedName name="_xlnm.Print_Area" localSheetId="1">inputs!$B$1:$L$42</definedName>
    <definedName name="_xlnm.Print_Area" localSheetId="3">is!$B$1:$S$44,is!$AC$1:$AJ$37,is!$B$49:$P$80</definedName>
    <definedName name="_xlnm.Print_Area" localSheetId="9">other!$B$1:$Q$27</definedName>
    <definedName name="_xlnm.Print_Area" localSheetId="16">ratios!$B$1:$R$91</definedName>
    <definedName name="_xlnm.Print_Area" localSheetId="15">reconciliations!$B$1:$Y$36</definedName>
    <definedName name="_xlnm.Print_Area" localSheetId="11">shares!$B$1:$Q$16</definedName>
    <definedName name="_xlnm.Print_Area" localSheetId="6">workingcap!$B$1:$Q$32</definedName>
    <definedName name="_xlnm.Print_Titles" localSheetId="16">ratios!$1:$2</definedName>
    <definedName name="ProjectName">{"Client Name or Project Name"}</definedName>
    <definedName name="Ratios" localSheetId="16">ratios!$A$1</definedName>
    <definedName name="reconciliations">reconciliations!$A$1</definedName>
    <definedName name="shares">shares!$A$1</definedName>
    <definedName name="Subheader">inputs!$F$5</definedName>
    <definedName name="TTS" localSheetId="0">TTS!$A$1</definedName>
    <definedName name="workingcap">workingcap!$A$1</definedName>
  </definedNames>
  <calcPr calcId="162913" calcMode="autoNoTable" iterate="1"/>
  <extLst>
    <ext xmlns:mx="http://schemas.microsoft.com/office/mac/excel/2008/main" uri="{7523E5D3-25F3-A5E0-1632-64F254C22452}">
      <mx:ArchID Flags="2"/>
    </ext>
  </extLst>
</workbook>
</file>

<file path=xl/calcChain.xml><?xml version="1.0" encoding="utf-8"?>
<calcChain xmlns="http://schemas.openxmlformats.org/spreadsheetml/2006/main">
  <c r="P29" i="129" l="1"/>
  <c r="L19" i="129" l="1"/>
  <c r="L19" i="128"/>
  <c r="L18" i="129"/>
  <c r="L18" i="128"/>
  <c r="K11" i="129"/>
  <c r="J11" i="129"/>
  <c r="I11" i="129"/>
  <c r="K7" i="129"/>
  <c r="J7" i="129"/>
  <c r="I7" i="129"/>
  <c r="K11" i="128"/>
  <c r="J11" i="128"/>
  <c r="I11" i="128"/>
  <c r="K7" i="128"/>
  <c r="J7" i="128"/>
  <c r="I7" i="128"/>
  <c r="G96" i="129"/>
  <c r="G97" i="129" s="1"/>
  <c r="G98" i="129" s="1"/>
  <c r="G99" i="129" s="1"/>
  <c r="G100" i="129" s="1"/>
  <c r="G101" i="129" s="1"/>
  <c r="G102" i="129" s="1"/>
  <c r="G103" i="129" s="1"/>
  <c r="G104" i="129" s="1"/>
  <c r="G105" i="129" s="1"/>
  <c r="G106" i="129" s="1"/>
  <c r="G107" i="129" s="1"/>
  <c r="G108" i="129" s="1"/>
  <c r="R94" i="129"/>
  <c r="H94" i="129"/>
  <c r="G74" i="129"/>
  <c r="G75" i="129" s="1"/>
  <c r="G76" i="129" s="1"/>
  <c r="G77" i="129" s="1"/>
  <c r="G78" i="129" s="1"/>
  <c r="G79" i="129" s="1"/>
  <c r="G80" i="129" s="1"/>
  <c r="G81" i="129" s="1"/>
  <c r="G82" i="129" s="1"/>
  <c r="G83" i="129" s="1"/>
  <c r="G84" i="129" s="1"/>
  <c r="G85" i="129" s="1"/>
  <c r="G86" i="129" s="1"/>
  <c r="J72" i="129"/>
  <c r="K72" i="129" s="1"/>
  <c r="L72" i="129" s="1"/>
  <c r="M72" i="129" s="1"/>
  <c r="N72" i="129" s="1"/>
  <c r="O72" i="129" s="1"/>
  <c r="P72" i="129" s="1"/>
  <c r="I72" i="129"/>
  <c r="C60" i="129"/>
  <c r="C58" i="129"/>
  <c r="C56" i="129"/>
  <c r="P47" i="129"/>
  <c r="J47" i="129"/>
  <c r="J46" i="129"/>
  <c r="P40" i="129"/>
  <c r="L37" i="129"/>
  <c r="J37" i="129"/>
  <c r="P37" i="129" s="1"/>
  <c r="P46" i="129"/>
  <c r="E13" i="129"/>
  <c r="B2" i="129"/>
  <c r="B1" i="129"/>
  <c r="G96" i="128"/>
  <c r="G97" i="128" s="1"/>
  <c r="G98" i="128" s="1"/>
  <c r="G99" i="128" s="1"/>
  <c r="G100" i="128" s="1"/>
  <c r="G101" i="128" s="1"/>
  <c r="G102" i="128" s="1"/>
  <c r="G103" i="128" s="1"/>
  <c r="G104" i="128" s="1"/>
  <c r="G105" i="128" s="1"/>
  <c r="G106" i="128" s="1"/>
  <c r="G107" i="128" s="1"/>
  <c r="G108" i="128" s="1"/>
  <c r="R94" i="128"/>
  <c r="H94" i="128"/>
  <c r="G74" i="128"/>
  <c r="G75" i="128" s="1"/>
  <c r="G76" i="128" s="1"/>
  <c r="G77" i="128" s="1"/>
  <c r="G78" i="128" s="1"/>
  <c r="G79" i="128" s="1"/>
  <c r="G80" i="128" s="1"/>
  <c r="G81" i="128" s="1"/>
  <c r="G82" i="128" s="1"/>
  <c r="G83" i="128" s="1"/>
  <c r="G84" i="128" s="1"/>
  <c r="G85" i="128" s="1"/>
  <c r="G86" i="128" s="1"/>
  <c r="I72" i="128"/>
  <c r="J72" i="128" s="1"/>
  <c r="K72" i="128" s="1"/>
  <c r="L72" i="128" s="1"/>
  <c r="M72" i="128" s="1"/>
  <c r="N72" i="128" s="1"/>
  <c r="O72" i="128" s="1"/>
  <c r="P72" i="128" s="1"/>
  <c r="C60" i="128"/>
  <c r="C58" i="128"/>
  <c r="C56" i="128"/>
  <c r="P47" i="128"/>
  <c r="J47" i="128"/>
  <c r="J46" i="128"/>
  <c r="P40" i="128"/>
  <c r="L37" i="128"/>
  <c r="J37" i="128"/>
  <c r="P37" i="128" s="1"/>
  <c r="P29" i="128"/>
  <c r="P46" i="128" s="1"/>
  <c r="E13" i="128"/>
  <c r="B2" i="128"/>
  <c r="B1" i="128"/>
  <c r="I94" i="128" l="1"/>
  <c r="J94" i="128" s="1"/>
  <c r="K94" i="128" s="1"/>
  <c r="L94" i="128" s="1"/>
  <c r="M94" i="128" s="1"/>
  <c r="N94" i="128" s="1"/>
  <c r="O94" i="128" s="1"/>
  <c r="P94" i="128" s="1"/>
  <c r="I94" i="129"/>
  <c r="J94" i="129" s="1"/>
  <c r="K94" i="129" s="1"/>
  <c r="L94" i="129" s="1"/>
  <c r="M94" i="129" s="1"/>
  <c r="N94" i="129" s="1"/>
  <c r="O94" i="129" s="1"/>
  <c r="P94" i="129" s="1"/>
  <c r="L17" i="9" l="1"/>
  <c r="M37" i="1"/>
  <c r="N37" i="1"/>
  <c r="O37" i="1" s="1"/>
  <c r="P37" i="1" s="1"/>
  <c r="M34" i="1"/>
  <c r="N34" i="1" s="1"/>
  <c r="M33" i="1"/>
  <c r="N33" i="1" s="1"/>
  <c r="N12" i="76"/>
  <c r="O12" i="76" s="1"/>
  <c r="M35" i="1"/>
  <c r="N35" i="1" s="1"/>
  <c r="O35" i="1" s="1"/>
  <c r="P35" i="1" s="1"/>
  <c r="M31" i="53"/>
  <c r="N31" i="53" s="1"/>
  <c r="M28" i="53"/>
  <c r="N28" i="53" s="1"/>
  <c r="O28" i="53" s="1"/>
  <c r="P28" i="53" s="1"/>
  <c r="M30" i="53"/>
  <c r="N30" i="53" s="1"/>
  <c r="O30" i="53" s="1"/>
  <c r="P30" i="53" s="1"/>
  <c r="P84" i="78" s="1"/>
  <c r="M27" i="53"/>
  <c r="N27" i="53" s="1"/>
  <c r="O27" i="53" s="1"/>
  <c r="P27" i="53" s="1"/>
  <c r="M26" i="53"/>
  <c r="N26" i="53" s="1"/>
  <c r="O26" i="53" s="1"/>
  <c r="P26" i="53" s="1"/>
  <c r="P82" i="78" s="1"/>
  <c r="I21" i="88"/>
  <c r="J21" i="88"/>
  <c r="K21" i="88"/>
  <c r="L19" i="88" s="1"/>
  <c r="L15" i="88"/>
  <c r="M15" i="88"/>
  <c r="N15" i="88"/>
  <c r="O15" i="88"/>
  <c r="P15" i="88"/>
  <c r="L14" i="88"/>
  <c r="M14" i="88"/>
  <c r="N14" i="88"/>
  <c r="O14" i="88"/>
  <c r="P14" i="88"/>
  <c r="L11" i="88"/>
  <c r="L33" i="9"/>
  <c r="M26" i="9"/>
  <c r="N26" i="9"/>
  <c r="O26" i="9"/>
  <c r="P26" i="9"/>
  <c r="L26" i="9"/>
  <c r="M25" i="9"/>
  <c r="N25" i="9"/>
  <c r="O25" i="9"/>
  <c r="P25" i="9"/>
  <c r="L25" i="9"/>
  <c r="L18" i="9"/>
  <c r="L19" i="9"/>
  <c r="L8" i="9"/>
  <c r="L25" i="86"/>
  <c r="L12" i="86" s="1"/>
  <c r="I13" i="86"/>
  <c r="J13" i="86"/>
  <c r="K13" i="86"/>
  <c r="L7" i="86" s="1"/>
  <c r="L24" i="1"/>
  <c r="L9" i="9"/>
  <c r="L10" i="9"/>
  <c r="L15" i="1"/>
  <c r="L14" i="1"/>
  <c r="L17" i="76"/>
  <c r="L16" i="76"/>
  <c r="L12" i="76"/>
  <c r="J19" i="76"/>
  <c r="K19" i="76"/>
  <c r="L15" i="76"/>
  <c r="L19" i="76" s="1"/>
  <c r="I19" i="76"/>
  <c r="N9" i="76"/>
  <c r="O9" i="76" s="1"/>
  <c r="P9" i="76" s="1"/>
  <c r="I7" i="76"/>
  <c r="I9" i="76"/>
  <c r="J7" i="76"/>
  <c r="J9" i="76" s="1"/>
  <c r="K7" i="76"/>
  <c r="K9" i="76" s="1"/>
  <c r="I16" i="53"/>
  <c r="J16" i="53"/>
  <c r="J17" i="53"/>
  <c r="K16" i="53"/>
  <c r="I17" i="53"/>
  <c r="I18" i="53" s="1"/>
  <c r="K17" i="53"/>
  <c r="K18" i="53" s="1"/>
  <c r="I11" i="53"/>
  <c r="J11" i="53"/>
  <c r="K11" i="53"/>
  <c r="I12" i="53"/>
  <c r="J12" i="53"/>
  <c r="K12" i="53"/>
  <c r="I13" i="53"/>
  <c r="J13" i="53"/>
  <c r="J28" i="53" s="1"/>
  <c r="K13" i="53"/>
  <c r="I7" i="53"/>
  <c r="J7" i="53"/>
  <c r="J26" i="53" s="1"/>
  <c r="J82" i="78" s="1"/>
  <c r="K7" i="53"/>
  <c r="I23" i="3"/>
  <c r="I75" i="78" s="1"/>
  <c r="J23" i="3"/>
  <c r="K23" i="3"/>
  <c r="I11" i="3"/>
  <c r="J11" i="3"/>
  <c r="J69" i="78" s="1"/>
  <c r="K11" i="3"/>
  <c r="L7" i="1"/>
  <c r="M7" i="1" s="1"/>
  <c r="K33" i="1"/>
  <c r="J33" i="1"/>
  <c r="L7" i="53"/>
  <c r="L13" i="53" s="1"/>
  <c r="L10" i="3" s="1"/>
  <c r="B1" i="78"/>
  <c r="B2" i="78"/>
  <c r="I6" i="78"/>
  <c r="J6" i="78"/>
  <c r="J85" i="78" s="1"/>
  <c r="K6" i="78"/>
  <c r="I31" i="78"/>
  <c r="J31" i="78"/>
  <c r="K31" i="78"/>
  <c r="I32" i="78"/>
  <c r="J32" i="78"/>
  <c r="K32" i="78"/>
  <c r="L32" i="78"/>
  <c r="I48" i="78"/>
  <c r="J48" i="78"/>
  <c r="K48" i="78"/>
  <c r="I54" i="78"/>
  <c r="I56" i="78" s="1"/>
  <c r="J54" i="78"/>
  <c r="K54" i="78"/>
  <c r="L54" i="78"/>
  <c r="M54" i="78"/>
  <c r="N54" i="78"/>
  <c r="O54" i="78"/>
  <c r="P54" i="78"/>
  <c r="J55" i="78"/>
  <c r="L55" i="78" s="1"/>
  <c r="I64" i="78"/>
  <c r="J64" i="78"/>
  <c r="K64" i="78"/>
  <c r="I65" i="78"/>
  <c r="J65" i="78"/>
  <c r="K65" i="78"/>
  <c r="K66" i="78" s="1"/>
  <c r="I68" i="78"/>
  <c r="J68" i="78"/>
  <c r="K68" i="78"/>
  <c r="I71" i="78"/>
  <c r="I85" i="78" s="1"/>
  <c r="J71" i="78"/>
  <c r="K71" i="78"/>
  <c r="I74" i="78"/>
  <c r="J74" i="78"/>
  <c r="K74" i="78"/>
  <c r="L82" i="78"/>
  <c r="L83" i="78"/>
  <c r="L84" i="78"/>
  <c r="B1" i="92"/>
  <c r="B2" i="92"/>
  <c r="O4" i="92"/>
  <c r="F5" i="92"/>
  <c r="G5" i="92"/>
  <c r="K5" i="92"/>
  <c r="B7" i="92"/>
  <c r="B8" i="92"/>
  <c r="B9" i="92"/>
  <c r="B10" i="92"/>
  <c r="B13" i="92"/>
  <c r="O6" i="92" s="1"/>
  <c r="B14" i="92"/>
  <c r="O11" i="92" s="1"/>
  <c r="B15" i="92"/>
  <c r="B16" i="92"/>
  <c r="B17" i="92"/>
  <c r="B18" i="92"/>
  <c r="B20" i="92"/>
  <c r="B21" i="92"/>
  <c r="B28" i="92"/>
  <c r="B29" i="92"/>
  <c r="O16" i="92" s="1"/>
  <c r="B30" i="92"/>
  <c r="B31" i="92"/>
  <c r="O21" i="92" s="1"/>
  <c r="B1" i="88"/>
  <c r="B2" i="88"/>
  <c r="M12" i="88"/>
  <c r="N12" i="88" s="1"/>
  <c r="O12" i="88" s="1"/>
  <c r="P12" i="88" s="1"/>
  <c r="B18" i="88"/>
  <c r="B36" i="20" s="1"/>
  <c r="B23" i="88"/>
  <c r="B36" i="88" s="1"/>
  <c r="M31" i="88"/>
  <c r="M32" i="88"/>
  <c r="N32" i="88" s="1"/>
  <c r="O32" i="88" s="1"/>
  <c r="P32" i="88" s="1"/>
  <c r="L33" i="88"/>
  <c r="H36" i="20" s="1"/>
  <c r="U35" i="88"/>
  <c r="I36" i="88"/>
  <c r="I42" i="88" s="1"/>
  <c r="I37" i="88"/>
  <c r="I43" i="88" s="1"/>
  <c r="M37" i="88"/>
  <c r="I38" i="88"/>
  <c r="U39" i="88"/>
  <c r="U40" i="88" s="1"/>
  <c r="U18" i="1" s="1"/>
  <c r="M43" i="88"/>
  <c r="I38" i="20" s="1"/>
  <c r="B1" i="87"/>
  <c r="B2" i="87"/>
  <c r="L8" i="87"/>
  <c r="M9" i="87"/>
  <c r="N9" i="87" s="1"/>
  <c r="O9" i="87" s="1"/>
  <c r="P9" i="87" s="1"/>
  <c r="L10" i="87"/>
  <c r="I11" i="87"/>
  <c r="J11" i="87"/>
  <c r="K11" i="87"/>
  <c r="L7" i="87" s="1"/>
  <c r="M14" i="87"/>
  <c r="N14" i="87" s="1"/>
  <c r="I15" i="87"/>
  <c r="I14" i="87" s="1"/>
  <c r="J15" i="87"/>
  <c r="J14" i="87" s="1"/>
  <c r="K15" i="87"/>
  <c r="K14" i="87" s="1"/>
  <c r="B1" i="86"/>
  <c r="B2" i="86"/>
  <c r="M9" i="86"/>
  <c r="I26" i="20" s="1"/>
  <c r="M17" i="86"/>
  <c r="N17" i="86" s="1"/>
  <c r="O17" i="86" s="1"/>
  <c r="M19" i="86"/>
  <c r="M10" i="87"/>
  <c r="I23" i="86"/>
  <c r="J23" i="86"/>
  <c r="K23" i="86"/>
  <c r="M23" i="86"/>
  <c r="M8" i="87" s="1"/>
  <c r="M24" i="86"/>
  <c r="N24" i="86" s="1"/>
  <c r="O24" i="86" s="1"/>
  <c r="P24" i="86" s="1"/>
  <c r="M30" i="86"/>
  <c r="N30" i="86" s="1"/>
  <c r="O30" i="86" s="1"/>
  <c r="P30" i="86" s="1"/>
  <c r="B1" i="81"/>
  <c r="B2" i="81"/>
  <c r="C8" i="81"/>
  <c r="J8" i="81"/>
  <c r="K8" i="81"/>
  <c r="C9" i="81"/>
  <c r="I9" i="81"/>
  <c r="J9" i="81"/>
  <c r="K9" i="81"/>
  <c r="L9" i="81" s="1"/>
  <c r="L16" i="3" s="1"/>
  <c r="C10" i="81"/>
  <c r="C15" i="81"/>
  <c r="I15" i="81"/>
  <c r="I16" i="81" s="1"/>
  <c r="J15" i="81"/>
  <c r="J16" i="81"/>
  <c r="K15" i="81"/>
  <c r="L15" i="81" s="1"/>
  <c r="M15" i="81" s="1"/>
  <c r="N15" i="81" s="1"/>
  <c r="M23" i="81"/>
  <c r="N23" i="81" s="1"/>
  <c r="N24" i="1" s="1"/>
  <c r="L24" i="81"/>
  <c r="L11" i="9" s="1"/>
  <c r="I25" i="81"/>
  <c r="J25" i="81"/>
  <c r="K25" i="81"/>
  <c r="L22" i="81" s="1"/>
  <c r="M27" i="81"/>
  <c r="B1" i="83"/>
  <c r="I7" i="83"/>
  <c r="I9" i="83" s="1"/>
  <c r="J7" i="83"/>
  <c r="K7" i="83"/>
  <c r="I8" i="83"/>
  <c r="J8" i="83"/>
  <c r="J9" i="83" s="1"/>
  <c r="K8" i="83"/>
  <c r="M8" i="83"/>
  <c r="I11" i="83"/>
  <c r="J11" i="83"/>
  <c r="K11" i="83"/>
  <c r="M11" i="83"/>
  <c r="N11" i="83" s="1"/>
  <c r="N15" i="1" s="1"/>
  <c r="L16" i="83"/>
  <c r="L17" i="83"/>
  <c r="M18" i="83"/>
  <c r="N18" i="83" s="1"/>
  <c r="O18" i="83" s="1"/>
  <c r="P18" i="83" s="1"/>
  <c r="B1" i="76"/>
  <c r="B2" i="76"/>
  <c r="B1" i="53"/>
  <c r="B2" i="53"/>
  <c r="C11" i="53"/>
  <c r="C26" i="53" s="1"/>
  <c r="B16" i="20" s="1"/>
  <c r="C12" i="53"/>
  <c r="C27" i="53" s="1"/>
  <c r="B17" i="20" s="1"/>
  <c r="C13" i="53"/>
  <c r="C28" i="53" s="1"/>
  <c r="B18" i="20" s="1"/>
  <c r="C16" i="53"/>
  <c r="C30" i="53" s="1"/>
  <c r="B19" i="20" s="1"/>
  <c r="C17" i="53"/>
  <c r="C31" i="53" s="1"/>
  <c r="B20" i="20" s="1"/>
  <c r="B1" i="9"/>
  <c r="B2" i="9"/>
  <c r="B1" i="3"/>
  <c r="B2" i="3"/>
  <c r="I69" i="78"/>
  <c r="K69" i="78"/>
  <c r="K77" i="78" s="1"/>
  <c r="I14" i="3"/>
  <c r="I19" i="83" s="1"/>
  <c r="J14" i="3"/>
  <c r="K14" i="3"/>
  <c r="K19" i="83" s="1"/>
  <c r="I15" i="3"/>
  <c r="I8" i="81" s="1"/>
  <c r="I17" i="3"/>
  <c r="I10" i="81" s="1"/>
  <c r="J17" i="3"/>
  <c r="K17" i="3"/>
  <c r="K10" i="81" s="1"/>
  <c r="J75" i="78"/>
  <c r="K75" i="78"/>
  <c r="I26" i="3"/>
  <c r="J26" i="3"/>
  <c r="J28" i="3" s="1"/>
  <c r="J32" i="3" s="1"/>
  <c r="K26" i="3"/>
  <c r="K28" i="3" s="1"/>
  <c r="K32" i="3" s="1"/>
  <c r="B1" i="1"/>
  <c r="B2" i="1"/>
  <c r="I4" i="1"/>
  <c r="I4" i="53" s="1"/>
  <c r="L4" i="1"/>
  <c r="L4" i="87" s="1"/>
  <c r="K5" i="1"/>
  <c r="AC8" i="1"/>
  <c r="AC10" i="1" s="1"/>
  <c r="AC12" i="1" s="1"/>
  <c r="I11" i="1"/>
  <c r="I35" i="1" s="1"/>
  <c r="J11" i="1"/>
  <c r="J35" i="1" s="1"/>
  <c r="K11" i="1"/>
  <c r="K35" i="1" s="1"/>
  <c r="I14" i="1"/>
  <c r="I8" i="1" s="1"/>
  <c r="J14" i="1"/>
  <c r="K14" i="1"/>
  <c r="V18" i="1"/>
  <c r="W18" i="1"/>
  <c r="X18" i="1"/>
  <c r="Y18" i="1"/>
  <c r="U19" i="1"/>
  <c r="V19" i="1"/>
  <c r="W19" i="1"/>
  <c r="X19" i="1"/>
  <c r="Y19" i="1"/>
  <c r="AC23" i="1"/>
  <c r="AF7" i="1" s="1"/>
  <c r="AF6" i="1" s="1"/>
  <c r="I36" i="1"/>
  <c r="J36" i="1"/>
  <c r="K36" i="1"/>
  <c r="L36" i="1"/>
  <c r="M36" i="1" s="1"/>
  <c r="B39" i="1"/>
  <c r="B40" i="1" s="1"/>
  <c r="E54" i="1"/>
  <c r="E55" i="1" s="1"/>
  <c r="E56" i="1" s="1"/>
  <c r="E57" i="1" s="1"/>
  <c r="E58" i="1" s="1"/>
  <c r="E59" i="1" s="1"/>
  <c r="E60" i="1" s="1"/>
  <c r="E61" i="1" s="1"/>
  <c r="G69" i="1"/>
  <c r="H69" i="1" s="1"/>
  <c r="I69" i="1" s="1"/>
  <c r="J69" i="1" s="1"/>
  <c r="K69" i="1" s="1"/>
  <c r="L69" i="1" s="1"/>
  <c r="M69" i="1" s="1"/>
  <c r="E70" i="1"/>
  <c r="E80" i="1"/>
  <c r="B11" i="20"/>
  <c r="H11" i="20"/>
  <c r="K11" i="20"/>
  <c r="B12" i="20"/>
  <c r="H12" i="20"/>
  <c r="K12" i="20"/>
  <c r="B13" i="20"/>
  <c r="H13" i="20"/>
  <c r="K13" i="20"/>
  <c r="B14" i="20"/>
  <c r="H14" i="20"/>
  <c r="K14" i="20"/>
  <c r="H16" i="20"/>
  <c r="K16" i="20"/>
  <c r="H17" i="20"/>
  <c r="I17" i="20"/>
  <c r="K17" i="20"/>
  <c r="H18" i="20"/>
  <c r="K18" i="20"/>
  <c r="H19" i="20"/>
  <c r="K19" i="20"/>
  <c r="H20" i="20"/>
  <c r="K20" i="20"/>
  <c r="H22" i="20"/>
  <c r="B23" i="20"/>
  <c r="I23" i="20"/>
  <c r="H24" i="20"/>
  <c r="I24" i="20"/>
  <c r="J24" i="20"/>
  <c r="B26" i="20"/>
  <c r="H26" i="20"/>
  <c r="B27" i="20"/>
  <c r="H27" i="20"/>
  <c r="B28" i="20"/>
  <c r="H28" i="20"/>
  <c r="B29" i="20"/>
  <c r="H29" i="20"/>
  <c r="K29" i="20"/>
  <c r="B30" i="20"/>
  <c r="H30" i="20"/>
  <c r="B31" i="20"/>
  <c r="B33" i="20"/>
  <c r="H33" i="20"/>
  <c r="H35" i="20"/>
  <c r="H37" i="20"/>
  <c r="H38" i="20"/>
  <c r="K27" i="88"/>
  <c r="L24" i="88" s="1"/>
  <c r="L27" i="88" s="1"/>
  <c r="I37" i="20"/>
  <c r="M9" i="81"/>
  <c r="M16" i="3" s="1"/>
  <c r="I29" i="20"/>
  <c r="J19" i="83"/>
  <c r="M10" i="9"/>
  <c r="I33" i="20"/>
  <c r="I35" i="20"/>
  <c r="I28" i="20"/>
  <c r="N19" i="86"/>
  <c r="J28" i="20" s="1"/>
  <c r="P17" i="86"/>
  <c r="J13" i="20"/>
  <c r="B38" i="20"/>
  <c r="K9" i="83"/>
  <c r="J10" i="81"/>
  <c r="N37" i="88"/>
  <c r="J37" i="20" s="1"/>
  <c r="I14" i="20"/>
  <c r="I13" i="20"/>
  <c r="I11" i="20"/>
  <c r="M17" i="83"/>
  <c r="J14" i="20"/>
  <c r="M83" i="78"/>
  <c r="I18" i="20"/>
  <c r="L8" i="81"/>
  <c r="L15" i="3" s="1"/>
  <c r="L6" i="78"/>
  <c r="L7" i="83"/>
  <c r="L9" i="83" s="1"/>
  <c r="K4" i="78"/>
  <c r="K5" i="87"/>
  <c r="K5" i="3"/>
  <c r="K5" i="83"/>
  <c r="N27" i="81"/>
  <c r="K78" i="78"/>
  <c r="K5" i="53"/>
  <c r="K5" i="76"/>
  <c r="N31" i="88"/>
  <c r="K55" i="78"/>
  <c r="N9" i="81"/>
  <c r="O9" i="81" s="1"/>
  <c r="P9" i="81" s="1"/>
  <c r="P16" i="3" s="1"/>
  <c r="O19" i="86"/>
  <c r="P19" i="86" s="1"/>
  <c r="P10" i="87" s="1"/>
  <c r="J18" i="20"/>
  <c r="N83" i="78"/>
  <c r="J17" i="20"/>
  <c r="O83" i="78"/>
  <c r="P83" i="78"/>
  <c r="I66" i="78" l="1"/>
  <c r="J56" i="78"/>
  <c r="K7" i="78"/>
  <c r="K47" i="78"/>
  <c r="K49" i="78" s="1"/>
  <c r="K58" i="78" s="1"/>
  <c r="J30" i="20"/>
  <c r="M8" i="9"/>
  <c r="I30" i="20"/>
  <c r="L8" i="1"/>
  <c r="L8" i="53" s="1"/>
  <c r="L16" i="53" s="1"/>
  <c r="L21" i="3" s="1"/>
  <c r="M55" i="78"/>
  <c r="N55" i="78" s="1"/>
  <c r="N56" i="78" s="1"/>
  <c r="L56" i="78"/>
  <c r="N33" i="88"/>
  <c r="J36" i="20" s="1"/>
  <c r="I12" i="83"/>
  <c r="I78" i="78"/>
  <c r="N10" i="87"/>
  <c r="L7" i="78"/>
  <c r="K85" i="78"/>
  <c r="N9" i="86"/>
  <c r="N8" i="9" s="1"/>
  <c r="K19" i="3"/>
  <c r="K72" i="78" s="1"/>
  <c r="I28" i="3"/>
  <c r="I32" i="3" s="1"/>
  <c r="I20" i="20"/>
  <c r="J7" i="78"/>
  <c r="J35" i="20"/>
  <c r="K16" i="81"/>
  <c r="J16" i="20"/>
  <c r="J19" i="3"/>
  <c r="J47" i="78"/>
  <c r="M25" i="86"/>
  <c r="M12" i="86" s="1"/>
  <c r="L25" i="81"/>
  <c r="L18" i="3" s="1"/>
  <c r="K79" i="78"/>
  <c r="J66" i="78"/>
  <c r="J79" i="78" s="1"/>
  <c r="L7" i="76"/>
  <c r="L9" i="76" s="1"/>
  <c r="H23" i="20" s="1"/>
  <c r="J77" i="78"/>
  <c r="J78" i="78"/>
  <c r="I9" i="1"/>
  <c r="I34" i="1" s="1"/>
  <c r="I8" i="53"/>
  <c r="I30" i="53" s="1"/>
  <c r="I84" i="78" s="1"/>
  <c r="L13" i="3"/>
  <c r="L71" i="78" s="1"/>
  <c r="L85" i="78" s="1"/>
  <c r="M15" i="76"/>
  <c r="L13" i="76"/>
  <c r="M6" i="78"/>
  <c r="M7" i="78" s="1"/>
  <c r="M11" i="1"/>
  <c r="M7" i="83"/>
  <c r="M7" i="76"/>
  <c r="M8" i="76" s="1"/>
  <c r="I22" i="20" s="1"/>
  <c r="M7" i="53"/>
  <c r="M13" i="53" s="1"/>
  <c r="M10" i="3" s="1"/>
  <c r="M22" i="81"/>
  <c r="N16" i="3"/>
  <c r="N82" i="78"/>
  <c r="M8" i="81"/>
  <c r="M15" i="3" s="1"/>
  <c r="M82" i="78"/>
  <c r="B30" i="88"/>
  <c r="N43" i="88"/>
  <c r="J23" i="1"/>
  <c r="J45" i="78" s="1"/>
  <c r="J27" i="20"/>
  <c r="J12" i="83"/>
  <c r="J49" i="78"/>
  <c r="J58" i="78" s="1"/>
  <c r="I16" i="20"/>
  <c r="I19" i="3"/>
  <c r="J18" i="53"/>
  <c r="O82" i="78"/>
  <c r="O37" i="88"/>
  <c r="P37" i="88" s="1"/>
  <c r="J26" i="20"/>
  <c r="I47" i="78"/>
  <c r="I49" i="78" s="1"/>
  <c r="I58" i="78" s="1"/>
  <c r="I79" i="78"/>
  <c r="J11" i="81"/>
  <c r="M24" i="1"/>
  <c r="I27" i="88"/>
  <c r="M24" i="81"/>
  <c r="M11" i="9" s="1"/>
  <c r="I28" i="53"/>
  <c r="K26" i="53"/>
  <c r="K82" i="78" s="1"/>
  <c r="AI7" i="1"/>
  <c r="I23" i="1" s="1"/>
  <c r="I45" i="78" s="1"/>
  <c r="O9" i="86"/>
  <c r="O8" i="9" s="1"/>
  <c r="I27" i="20"/>
  <c r="B37" i="20"/>
  <c r="I77" i="78"/>
  <c r="K86" i="78"/>
  <c r="K90" i="78"/>
  <c r="O34" i="1"/>
  <c r="P34" i="1" s="1"/>
  <c r="J12" i="20"/>
  <c r="I72" i="78"/>
  <c r="I33" i="3"/>
  <c r="O15" i="81"/>
  <c r="O27" i="3" s="1"/>
  <c r="N16" i="81"/>
  <c r="N27" i="3"/>
  <c r="N11" i="129"/>
  <c r="N17" i="129" s="1"/>
  <c r="N11" i="128"/>
  <c r="N17" i="128" s="1"/>
  <c r="I11" i="76"/>
  <c r="I10" i="129"/>
  <c r="I10" i="128"/>
  <c r="M8" i="1"/>
  <c r="M7" i="129"/>
  <c r="M7" i="128"/>
  <c r="L7" i="129"/>
  <c r="L7" i="128"/>
  <c r="L11" i="128"/>
  <c r="L17" i="128" s="1"/>
  <c r="L11" i="129"/>
  <c r="L17" i="129" s="1"/>
  <c r="J10" i="128"/>
  <c r="J10" i="129"/>
  <c r="M19" i="129"/>
  <c r="M19" i="128"/>
  <c r="L10" i="128"/>
  <c r="L16" i="128" s="1"/>
  <c r="L10" i="129"/>
  <c r="L16" i="129" s="1"/>
  <c r="O10" i="87"/>
  <c r="O23" i="81"/>
  <c r="O24" i="1" s="1"/>
  <c r="M15" i="1"/>
  <c r="J11" i="76"/>
  <c r="L12" i="53"/>
  <c r="L9" i="3" s="1"/>
  <c r="L68" i="78" s="1"/>
  <c r="J23" i="20"/>
  <c r="E71" i="1"/>
  <c r="E72" i="1" s="1"/>
  <c r="E73" i="1" s="1"/>
  <c r="E74" i="1" s="1"/>
  <c r="E75" i="1" s="1"/>
  <c r="E76" i="1" s="1"/>
  <c r="E77" i="1" s="1"/>
  <c r="E78" i="1" s="1"/>
  <c r="O84" i="78"/>
  <c r="L74" i="78"/>
  <c r="O31" i="88"/>
  <c r="J19" i="20"/>
  <c r="K56" i="78"/>
  <c r="M16" i="83"/>
  <c r="N23" i="86"/>
  <c r="M84" i="78"/>
  <c r="I12" i="20"/>
  <c r="K17" i="81"/>
  <c r="M18" i="9"/>
  <c r="J8" i="1"/>
  <c r="L11" i="53"/>
  <c r="L17" i="53"/>
  <c r="L22" i="3" s="1"/>
  <c r="L23" i="3" s="1"/>
  <c r="L75" i="78" s="1"/>
  <c r="K5" i="88"/>
  <c r="K5" i="128"/>
  <c r="K5" i="129"/>
  <c r="I19" i="20"/>
  <c r="I4" i="86"/>
  <c r="I4" i="128"/>
  <c r="I4" i="129"/>
  <c r="O16" i="3"/>
  <c r="M9" i="83"/>
  <c r="N84" i="78"/>
  <c r="M33" i="88"/>
  <c r="I36" i="20" s="1"/>
  <c r="I4" i="81"/>
  <c r="I4" i="3"/>
  <c r="L9" i="1"/>
  <c r="N8" i="83"/>
  <c r="O8" i="83" s="1"/>
  <c r="J27" i="88"/>
  <c r="K8" i="1"/>
  <c r="K10" i="128"/>
  <c r="K10" i="129"/>
  <c r="L4" i="81"/>
  <c r="L4" i="128"/>
  <c r="L4" i="129"/>
  <c r="K33" i="3"/>
  <c r="I11" i="81"/>
  <c r="J12" i="81" s="1"/>
  <c r="L11" i="1"/>
  <c r="K14" i="53"/>
  <c r="K20" i="53" s="1"/>
  <c r="J14" i="53"/>
  <c r="J20" i="53" s="1"/>
  <c r="K22" i="53" s="1"/>
  <c r="I14" i="53"/>
  <c r="I20" i="53" s="1"/>
  <c r="I4" i="88"/>
  <c r="L4" i="83"/>
  <c r="I3" i="78"/>
  <c r="L4" i="53"/>
  <c r="L4" i="86"/>
  <c r="I4" i="83"/>
  <c r="L4" i="3"/>
  <c r="M29" i="9"/>
  <c r="M10" i="88"/>
  <c r="P12" i="76"/>
  <c r="O33" i="1"/>
  <c r="P33" i="1" s="1"/>
  <c r="J11" i="20"/>
  <c r="N7" i="1"/>
  <c r="I9" i="78"/>
  <c r="I10" i="78" s="1"/>
  <c r="I13" i="76"/>
  <c r="I12" i="76"/>
  <c r="L26" i="3"/>
  <c r="M24" i="88"/>
  <c r="M16" i="76"/>
  <c r="M11" i="76"/>
  <c r="O16" i="81"/>
  <c r="N8" i="81"/>
  <c r="K89" i="78"/>
  <c r="N24" i="81"/>
  <c r="N11" i="9" s="1"/>
  <c r="I26" i="53"/>
  <c r="I82" i="78" s="1"/>
  <c r="P15" i="81"/>
  <c r="J29" i="20"/>
  <c r="K11" i="76"/>
  <c r="J17" i="81"/>
  <c r="L11" i="87"/>
  <c r="M56" i="78"/>
  <c r="L36" i="88"/>
  <c r="L38" i="88" s="1"/>
  <c r="L27" i="3"/>
  <c r="L16" i="81"/>
  <c r="L17" i="81" s="1"/>
  <c r="L15" i="83"/>
  <c r="L19" i="83" s="1"/>
  <c r="K12" i="83"/>
  <c r="O31" i="53"/>
  <c r="J20" i="20"/>
  <c r="O27" i="81"/>
  <c r="N17" i="83"/>
  <c r="N10" i="9"/>
  <c r="O11" i="83"/>
  <c r="N36" i="1"/>
  <c r="M20" i="1"/>
  <c r="O14" i="87"/>
  <c r="P14" i="87" s="1"/>
  <c r="J33" i="20"/>
  <c r="O55" i="78"/>
  <c r="M16" i="81"/>
  <c r="M27" i="3"/>
  <c r="J72" i="78"/>
  <c r="J33" i="3"/>
  <c r="K11" i="81"/>
  <c r="L10" i="81"/>
  <c r="L18" i="53"/>
  <c r="L10" i="88"/>
  <c r="L29" i="9"/>
  <c r="K28" i="53"/>
  <c r="I4" i="76"/>
  <c r="L4" i="9"/>
  <c r="AC2" i="1"/>
  <c r="L4" i="76"/>
  <c r="L4" i="88"/>
  <c r="L3" i="78"/>
  <c r="K5" i="81"/>
  <c r="I4" i="87"/>
  <c r="L20" i="1"/>
  <c r="AC18" i="1"/>
  <c r="AC17" i="1" s="1"/>
  <c r="L5" i="1"/>
  <c r="K5" i="86"/>
  <c r="J5" i="1"/>
  <c r="N16" i="83" l="1"/>
  <c r="M25" i="81"/>
  <c r="N22" i="81" s="1"/>
  <c r="J38" i="20"/>
  <c r="O43" i="88"/>
  <c r="P43" i="88" s="1"/>
  <c r="P23" i="81"/>
  <c r="P24" i="1" s="1"/>
  <c r="O17" i="81"/>
  <c r="M32" i="78"/>
  <c r="I12" i="1"/>
  <c r="I9" i="129" s="1"/>
  <c r="I12" i="129" s="1"/>
  <c r="I13" i="129" s="1"/>
  <c r="I14" i="129" s="1"/>
  <c r="M18" i="129"/>
  <c r="M11" i="53"/>
  <c r="M8" i="3" s="1"/>
  <c r="M65" i="78" s="1"/>
  <c r="I27" i="53"/>
  <c r="I83" i="78" s="1"/>
  <c r="I31" i="53"/>
  <c r="M17" i="9"/>
  <c r="M19" i="9" s="1"/>
  <c r="J22" i="53"/>
  <c r="M18" i="128"/>
  <c r="P9" i="86"/>
  <c r="P8" i="9" s="1"/>
  <c r="AI6" i="1"/>
  <c r="J5" i="128"/>
  <c r="J5" i="129"/>
  <c r="K8" i="53"/>
  <c r="K9" i="1"/>
  <c r="N25" i="86"/>
  <c r="N12" i="86" s="1"/>
  <c r="O23" i="86"/>
  <c r="N8" i="87"/>
  <c r="J12" i="76"/>
  <c r="J13" i="76"/>
  <c r="L8" i="3"/>
  <c r="L65" i="78" s="1"/>
  <c r="L14" i="53"/>
  <c r="L20" i="53" s="1"/>
  <c r="M11" i="129"/>
  <c r="M17" i="129" s="1"/>
  <c r="M11" i="128"/>
  <c r="M17" i="128" s="1"/>
  <c r="M9" i="1"/>
  <c r="M8" i="53"/>
  <c r="N7" i="129"/>
  <c r="N7" i="128"/>
  <c r="N19" i="128"/>
  <c r="N19" i="129"/>
  <c r="N18" i="9"/>
  <c r="J8" i="53"/>
  <c r="J9" i="1"/>
  <c r="P31" i="88"/>
  <c r="P33" i="88" s="1"/>
  <c r="O33" i="88"/>
  <c r="L5" i="129"/>
  <c r="L5" i="128"/>
  <c r="O19" i="128"/>
  <c r="O19" i="129"/>
  <c r="L12" i="1"/>
  <c r="L9" i="78"/>
  <c r="L10" i="78" s="1"/>
  <c r="I90" i="78"/>
  <c r="I89" i="78"/>
  <c r="I86" i="78"/>
  <c r="M17" i="76"/>
  <c r="M19" i="76" s="1"/>
  <c r="M14" i="1"/>
  <c r="M9" i="9"/>
  <c r="M27" i="88"/>
  <c r="M36" i="88" s="1"/>
  <c r="M38" i="88" s="1"/>
  <c r="N8" i="1"/>
  <c r="N8" i="53" s="1"/>
  <c r="N7" i="83"/>
  <c r="N9" i="83" s="1"/>
  <c r="N7" i="53"/>
  <c r="O7" i="1"/>
  <c r="N11" i="1"/>
  <c r="N7" i="76"/>
  <c r="N8" i="76" s="1"/>
  <c r="N6" i="78"/>
  <c r="N7" i="78" s="1"/>
  <c r="K13" i="76"/>
  <c r="K12" i="76"/>
  <c r="P27" i="3"/>
  <c r="P16" i="81"/>
  <c r="P17" i="81" s="1"/>
  <c r="I16" i="1"/>
  <c r="I12" i="78"/>
  <c r="L13" i="87"/>
  <c r="L15" i="87" s="1"/>
  <c r="L27" i="1" s="1"/>
  <c r="M7" i="87"/>
  <c r="M11" i="87" s="1"/>
  <c r="M13" i="87" s="1"/>
  <c r="M15" i="87" s="1"/>
  <c r="M27" i="1" s="1"/>
  <c r="N15" i="3"/>
  <c r="O8" i="81"/>
  <c r="J19" i="81"/>
  <c r="N25" i="81"/>
  <c r="L17" i="3"/>
  <c r="M10" i="81"/>
  <c r="L11" i="81"/>
  <c r="O56" i="78"/>
  <c r="P55" i="78"/>
  <c r="P56" i="78" s="1"/>
  <c r="M5" i="1"/>
  <c r="L5" i="86"/>
  <c r="L5" i="3"/>
  <c r="F68" i="1"/>
  <c r="L5" i="87"/>
  <c r="L5" i="53"/>
  <c r="L5" i="81"/>
  <c r="E50" i="1"/>
  <c r="L4" i="78"/>
  <c r="L5" i="9"/>
  <c r="D72" i="1"/>
  <c r="L5" i="88"/>
  <c r="D55" i="1"/>
  <c r="L5" i="83"/>
  <c r="H10" i="20"/>
  <c r="L5" i="76"/>
  <c r="K12" i="81"/>
  <c r="K19" i="81" s="1"/>
  <c r="L12" i="81"/>
  <c r="L19" i="81" s="1"/>
  <c r="O36" i="1"/>
  <c r="N20" i="1"/>
  <c r="L12" i="83"/>
  <c r="M15" i="83"/>
  <c r="M19" i="83" s="1"/>
  <c r="L14" i="3"/>
  <c r="O15" i="1"/>
  <c r="P11" i="83"/>
  <c r="O17" i="83"/>
  <c r="O10" i="9"/>
  <c r="O18" i="9"/>
  <c r="P8" i="83"/>
  <c r="O16" i="83"/>
  <c r="O24" i="81"/>
  <c r="P27" i="81"/>
  <c r="P24" i="81" s="1"/>
  <c r="P11" i="9" s="1"/>
  <c r="J5" i="83"/>
  <c r="J4" i="78"/>
  <c r="J5" i="88"/>
  <c r="I5" i="1"/>
  <c r="J5" i="87"/>
  <c r="AF2" i="1"/>
  <c r="J5" i="86"/>
  <c r="J5" i="81"/>
  <c r="J5" i="76"/>
  <c r="J5" i="3"/>
  <c r="J5" i="53"/>
  <c r="J86" i="78"/>
  <c r="J89" i="78"/>
  <c r="J90" i="78"/>
  <c r="M17" i="81"/>
  <c r="K23" i="1"/>
  <c r="P31" i="53"/>
  <c r="N17" i="81"/>
  <c r="M18" i="3" l="1"/>
  <c r="I9" i="128"/>
  <c r="I12" i="128" s="1"/>
  <c r="I13" i="128" s="1"/>
  <c r="I14" i="128" s="1"/>
  <c r="L22" i="53"/>
  <c r="M5" i="129"/>
  <c r="M5" i="128"/>
  <c r="N18" i="129"/>
  <c r="N18" i="128"/>
  <c r="M10" i="129"/>
  <c r="M16" i="129" s="1"/>
  <c r="M10" i="128"/>
  <c r="M16" i="128" s="1"/>
  <c r="K30" i="53"/>
  <c r="K84" i="78" s="1"/>
  <c r="K27" i="53"/>
  <c r="K83" i="78" s="1"/>
  <c r="K31" i="53"/>
  <c r="I5" i="129"/>
  <c r="I5" i="128"/>
  <c r="M12" i="1"/>
  <c r="M9" i="78"/>
  <c r="M10" i="78" s="1"/>
  <c r="O11" i="128"/>
  <c r="O17" i="128" s="1"/>
  <c r="O11" i="129"/>
  <c r="O17" i="129" s="1"/>
  <c r="L9" i="129"/>
  <c r="L12" i="129" s="1"/>
  <c r="L13" i="129" s="1"/>
  <c r="L14" i="129" s="1"/>
  <c r="L9" i="128"/>
  <c r="L12" i="128" s="1"/>
  <c r="L13" i="128" s="1"/>
  <c r="L14" i="128" s="1"/>
  <c r="L16" i="1"/>
  <c r="L12" i="78"/>
  <c r="O25" i="86"/>
  <c r="O12" i="86" s="1"/>
  <c r="O8" i="87"/>
  <c r="P23" i="86"/>
  <c r="L13" i="9"/>
  <c r="L21" i="129"/>
  <c r="L21" i="128"/>
  <c r="J31" i="53"/>
  <c r="J30" i="53"/>
  <c r="J84" i="78" s="1"/>
  <c r="J27" i="53"/>
  <c r="J83" i="78" s="1"/>
  <c r="K34" i="1"/>
  <c r="K9" i="78"/>
  <c r="K10" i="78" s="1"/>
  <c r="K12" i="1"/>
  <c r="P19" i="129"/>
  <c r="P19" i="128"/>
  <c r="O7" i="128"/>
  <c r="O7" i="129"/>
  <c r="J9" i="78"/>
  <c r="J10" i="78" s="1"/>
  <c r="J34" i="1"/>
  <c r="J12" i="1"/>
  <c r="M12" i="53"/>
  <c r="M16" i="53"/>
  <c r="M17" i="53"/>
  <c r="M22" i="3" s="1"/>
  <c r="N29" i="9"/>
  <c r="N10" i="88"/>
  <c r="M13" i="76"/>
  <c r="N15" i="76"/>
  <c r="M13" i="3"/>
  <c r="M71" i="78" s="1"/>
  <c r="M85" i="78" s="1"/>
  <c r="N18" i="3"/>
  <c r="O22" i="81"/>
  <c r="O8" i="1"/>
  <c r="O8" i="53" s="1"/>
  <c r="O11" i="1"/>
  <c r="O7" i="53"/>
  <c r="P7" i="1"/>
  <c r="O7" i="76"/>
  <c r="O8" i="76" s="1"/>
  <c r="O7" i="83"/>
  <c r="O9" i="83" s="1"/>
  <c r="O6" i="78"/>
  <c r="O7" i="78" s="1"/>
  <c r="N7" i="87"/>
  <c r="N11" i="87" s="1"/>
  <c r="N13" i="87" s="1"/>
  <c r="N15" i="87" s="1"/>
  <c r="N27" i="1" s="1"/>
  <c r="I34" i="78"/>
  <c r="I38" i="78"/>
  <c r="I59" i="78"/>
  <c r="I37" i="78"/>
  <c r="I13" i="78"/>
  <c r="N11" i="53"/>
  <c r="N13" i="53"/>
  <c r="N10" i="3" s="1"/>
  <c r="O15" i="3"/>
  <c r="P8" i="81"/>
  <c r="P15" i="3" s="1"/>
  <c r="I21" i="1"/>
  <c r="I16" i="78"/>
  <c r="I44" i="78"/>
  <c r="I50" i="78" s="1"/>
  <c r="J22" i="20"/>
  <c r="N17" i="9"/>
  <c r="N19" i="9" s="1"/>
  <c r="N16" i="76"/>
  <c r="N11" i="76"/>
  <c r="N32" i="78"/>
  <c r="N24" i="88"/>
  <c r="M26" i="3"/>
  <c r="N17" i="53"/>
  <c r="N22" i="3" s="1"/>
  <c r="N12" i="53"/>
  <c r="N9" i="3" s="1"/>
  <c r="N68" i="78" s="1"/>
  <c r="N16" i="53"/>
  <c r="N9" i="1"/>
  <c r="P36" i="1"/>
  <c r="P20" i="1" s="1"/>
  <c r="O20" i="1"/>
  <c r="O14" i="92"/>
  <c r="F18" i="92"/>
  <c r="O9" i="92"/>
  <c r="F15" i="92"/>
  <c r="F21" i="92"/>
  <c r="F29" i="92"/>
  <c r="F9" i="92"/>
  <c r="F20" i="92"/>
  <c r="O19" i="92"/>
  <c r="F30" i="92"/>
  <c r="F16" i="92"/>
  <c r="F8" i="92"/>
  <c r="F17" i="92"/>
  <c r="F14" i="92"/>
  <c r="F10" i="92"/>
  <c r="F13" i="92"/>
  <c r="O24" i="92"/>
  <c r="F28" i="92"/>
  <c r="F31" i="92"/>
  <c r="F7" i="92"/>
  <c r="K45" i="78"/>
  <c r="P18" i="9"/>
  <c r="P16" i="83"/>
  <c r="P10" i="9"/>
  <c r="P17" i="83"/>
  <c r="P15" i="1"/>
  <c r="N5" i="1"/>
  <c r="I10" i="20"/>
  <c r="M5" i="88"/>
  <c r="M4" i="78"/>
  <c r="M5" i="86"/>
  <c r="M5" i="81"/>
  <c r="M5" i="3"/>
  <c r="G17" i="92" s="1"/>
  <c r="M5" i="83"/>
  <c r="M5" i="53"/>
  <c r="M5" i="9"/>
  <c r="M5" i="76"/>
  <c r="M5" i="87"/>
  <c r="M17" i="3"/>
  <c r="M11" i="81"/>
  <c r="M12" i="81" s="1"/>
  <c r="M19" i="81" s="1"/>
  <c r="N10" i="81"/>
  <c r="M12" i="83"/>
  <c r="M14" i="3"/>
  <c r="N15" i="83"/>
  <c r="N19" i="83" s="1"/>
  <c r="I5" i="88"/>
  <c r="I5" i="87"/>
  <c r="I5" i="76"/>
  <c r="I5" i="86"/>
  <c r="I5" i="3"/>
  <c r="I5" i="83"/>
  <c r="I5" i="53"/>
  <c r="I4" i="78"/>
  <c r="I5" i="81"/>
  <c r="AI2" i="1"/>
  <c r="O11" i="9"/>
  <c r="O25" i="81"/>
  <c r="O18" i="129" l="1"/>
  <c r="O18" i="128"/>
  <c r="O9" i="1"/>
  <c r="P7" i="128"/>
  <c r="P7" i="129"/>
  <c r="M18" i="53"/>
  <c r="M21" i="3"/>
  <c r="O10" i="88"/>
  <c r="O29" i="9"/>
  <c r="M9" i="129"/>
  <c r="M12" i="129" s="1"/>
  <c r="M13" i="129" s="1"/>
  <c r="M14" i="129" s="1"/>
  <c r="M9" i="128"/>
  <c r="M12" i="128" s="1"/>
  <c r="M13" i="128" s="1"/>
  <c r="M14" i="128" s="1"/>
  <c r="M12" i="78"/>
  <c r="M16" i="1"/>
  <c r="M13" i="9"/>
  <c r="M21" i="129"/>
  <c r="M21" i="128"/>
  <c r="N5" i="129"/>
  <c r="N5" i="128"/>
  <c r="M9" i="3"/>
  <c r="M68" i="78" s="1"/>
  <c r="M14" i="53"/>
  <c r="M20" i="53" s="1"/>
  <c r="M22" i="53" s="1"/>
  <c r="K9" i="128"/>
  <c r="K12" i="128" s="1"/>
  <c r="K13" i="128" s="1"/>
  <c r="K14" i="128" s="1"/>
  <c r="K9" i="129"/>
  <c r="K12" i="129" s="1"/>
  <c r="K13" i="129" s="1"/>
  <c r="K14" i="129" s="1"/>
  <c r="K16" i="1"/>
  <c r="K12" i="78"/>
  <c r="L13" i="78"/>
  <c r="L34" i="78"/>
  <c r="P11" i="129"/>
  <c r="P17" i="129" s="1"/>
  <c r="P11" i="128"/>
  <c r="P17" i="128" s="1"/>
  <c r="J16" i="1"/>
  <c r="J9" i="128"/>
  <c r="J12" i="128" s="1"/>
  <c r="J13" i="128" s="1"/>
  <c r="J14" i="128" s="1"/>
  <c r="J9" i="129"/>
  <c r="J12" i="129" s="1"/>
  <c r="J13" i="129" s="1"/>
  <c r="J14" i="129" s="1"/>
  <c r="J12" i="78"/>
  <c r="P8" i="87"/>
  <c r="P25" i="86"/>
  <c r="P12" i="86" s="1"/>
  <c r="L16" i="78"/>
  <c r="L17" i="78" s="1"/>
  <c r="L44" i="78"/>
  <c r="L12" i="9"/>
  <c r="L20" i="128"/>
  <c r="L23" i="128" s="1"/>
  <c r="L20" i="129"/>
  <c r="L23" i="129" s="1"/>
  <c r="I17" i="78"/>
  <c r="I36" i="78"/>
  <c r="O13" i="53"/>
  <c r="O10" i="3" s="1"/>
  <c r="O11" i="53"/>
  <c r="N27" i="88"/>
  <c r="N36" i="88" s="1"/>
  <c r="N38" i="88" s="1"/>
  <c r="I25" i="1"/>
  <c r="I37" i="1"/>
  <c r="I39" i="78"/>
  <c r="I40" i="78"/>
  <c r="I60" i="78"/>
  <c r="N12" i="1"/>
  <c r="N9" i="78"/>
  <c r="N10" i="78" s="1"/>
  <c r="N21" i="3"/>
  <c r="N18" i="53"/>
  <c r="O7" i="87"/>
  <c r="O11" i="87" s="1"/>
  <c r="O13" i="87" s="1"/>
  <c r="O15" i="87" s="1"/>
  <c r="O27" i="1" s="1"/>
  <c r="O17" i="9"/>
  <c r="O19" i="9" s="1"/>
  <c r="O16" i="76"/>
  <c r="O32" i="78"/>
  <c r="O11" i="76"/>
  <c r="O16" i="53"/>
  <c r="O12" i="53"/>
  <c r="O9" i="3" s="1"/>
  <c r="O68" i="78" s="1"/>
  <c r="O17" i="53"/>
  <c r="O22" i="3" s="1"/>
  <c r="N14" i="1"/>
  <c r="N17" i="76"/>
  <c r="N19" i="76" s="1"/>
  <c r="N13" i="76" s="1"/>
  <c r="N9" i="9"/>
  <c r="N8" i="3"/>
  <c r="N65" i="78" s="1"/>
  <c r="N14" i="53"/>
  <c r="O12" i="1"/>
  <c r="O9" i="78"/>
  <c r="O10" i="78" s="1"/>
  <c r="P8" i="1"/>
  <c r="P8" i="53" s="1"/>
  <c r="P6" i="78"/>
  <c r="P7" i="78" s="1"/>
  <c r="P7" i="76"/>
  <c r="P8" i="76" s="1"/>
  <c r="P7" i="83"/>
  <c r="P9" i="83" s="1"/>
  <c r="P11" i="1"/>
  <c r="P7" i="53"/>
  <c r="P14" i="92"/>
  <c r="Q14" i="92" s="1"/>
  <c r="G21" i="92"/>
  <c r="I21" i="92" s="1"/>
  <c r="N12" i="83"/>
  <c r="O15" i="83"/>
  <c r="O19" i="83" s="1"/>
  <c r="N14" i="3"/>
  <c r="G13" i="92"/>
  <c r="I13" i="92" s="1"/>
  <c r="G30" i="92"/>
  <c r="I30" i="92" s="1"/>
  <c r="G14" i="92"/>
  <c r="I14" i="92" s="1"/>
  <c r="G9" i="92"/>
  <c r="I9" i="92" s="1"/>
  <c r="G10" i="92"/>
  <c r="I10" i="92" s="1"/>
  <c r="G20" i="92"/>
  <c r="I20" i="92" s="1"/>
  <c r="G15" i="92"/>
  <c r="I15" i="92" s="1"/>
  <c r="O10" i="81"/>
  <c r="N17" i="3"/>
  <c r="N11" i="81"/>
  <c r="N5" i="9"/>
  <c r="N5" i="81"/>
  <c r="N5" i="83"/>
  <c r="J10" i="20"/>
  <c r="N5" i="76"/>
  <c r="N5" i="3"/>
  <c r="N4" i="78"/>
  <c r="N5" i="86"/>
  <c r="N5" i="88"/>
  <c r="O5" i="1"/>
  <c r="N5" i="87"/>
  <c r="N5" i="53"/>
  <c r="P9" i="92"/>
  <c r="Q9" i="92" s="1"/>
  <c r="I17" i="92"/>
  <c r="G18" i="92"/>
  <c r="I18" i="92" s="1"/>
  <c r="G16" i="92"/>
  <c r="I16" i="92" s="1"/>
  <c r="P19" i="92"/>
  <c r="Q19" i="92" s="1"/>
  <c r="P22" i="81"/>
  <c r="P25" i="81" s="1"/>
  <c r="P18" i="3" s="1"/>
  <c r="O18" i="3"/>
  <c r="N12" i="81"/>
  <c r="N19" i="81" s="1"/>
  <c r="F32" i="92"/>
  <c r="G8" i="92"/>
  <c r="I8" i="92" s="1"/>
  <c r="G29" i="92"/>
  <c r="I29" i="92" s="1"/>
  <c r="O9" i="128" l="1"/>
  <c r="O9" i="129"/>
  <c r="J13" i="78"/>
  <c r="J37" i="78"/>
  <c r="J38" i="78"/>
  <c r="J34" i="78"/>
  <c r="J59" i="78"/>
  <c r="J14" i="78"/>
  <c r="K13" i="78"/>
  <c r="L14" i="78"/>
  <c r="K14" i="78"/>
  <c r="K37" i="78"/>
  <c r="K38" i="78"/>
  <c r="K34" i="78"/>
  <c r="K59" i="78"/>
  <c r="M12" i="9"/>
  <c r="M20" i="128"/>
  <c r="M23" i="128" s="1"/>
  <c r="M24" i="128" s="1"/>
  <c r="M20" i="129"/>
  <c r="M23" i="129" s="1"/>
  <c r="M23" i="3"/>
  <c r="M75" i="78" s="1"/>
  <c r="M74" i="78"/>
  <c r="P18" i="128"/>
  <c r="P18" i="129"/>
  <c r="J21" i="1"/>
  <c r="J16" i="78"/>
  <c r="J44" i="78"/>
  <c r="J50" i="78" s="1"/>
  <c r="N10" i="129"/>
  <c r="N16" i="129" s="1"/>
  <c r="N10" i="128"/>
  <c r="N16" i="128" s="1"/>
  <c r="K21" i="1"/>
  <c r="K16" i="78"/>
  <c r="K44" i="78"/>
  <c r="K50" i="78" s="1"/>
  <c r="M16" i="78"/>
  <c r="M44" i="78"/>
  <c r="N9" i="129"/>
  <c r="N9" i="128"/>
  <c r="N13" i="9"/>
  <c r="N21" i="128"/>
  <c r="N21" i="129"/>
  <c r="O5" i="128"/>
  <c r="O5" i="129"/>
  <c r="P29" i="9"/>
  <c r="P10" i="88"/>
  <c r="M14" i="78"/>
  <c r="M13" i="78"/>
  <c r="M34" i="78"/>
  <c r="N20" i="53"/>
  <c r="N22" i="53" s="1"/>
  <c r="I25" i="92"/>
  <c r="P9" i="1"/>
  <c r="P7" i="87"/>
  <c r="P11" i="87" s="1"/>
  <c r="P13" i="87" s="1"/>
  <c r="P15" i="87" s="1"/>
  <c r="P27" i="1" s="1"/>
  <c r="N16" i="1"/>
  <c r="N12" i="78"/>
  <c r="P12" i="53"/>
  <c r="P9" i="3" s="1"/>
  <c r="P68" i="78" s="1"/>
  <c r="P16" i="53"/>
  <c r="P17" i="53"/>
  <c r="P22" i="3" s="1"/>
  <c r="P17" i="9"/>
  <c r="P19" i="9" s="1"/>
  <c r="P32" i="78"/>
  <c r="P16" i="76"/>
  <c r="P11" i="76"/>
  <c r="O21" i="3"/>
  <c r="O18" i="53"/>
  <c r="N23" i="3"/>
  <c r="N75" i="78" s="1"/>
  <c r="N74" i="78"/>
  <c r="I25" i="78"/>
  <c r="I26" i="78"/>
  <c r="I27" i="78"/>
  <c r="I28" i="78"/>
  <c r="I20" i="78"/>
  <c r="I29" i="1"/>
  <c r="I29" i="86"/>
  <c r="I30" i="86" s="1"/>
  <c r="P11" i="53"/>
  <c r="P13" i="53"/>
  <c r="P10" i="3" s="1"/>
  <c r="O12" i="78"/>
  <c r="O15" i="76"/>
  <c r="N13" i="3"/>
  <c r="N71" i="78" s="1"/>
  <c r="N85" i="78" s="1"/>
  <c r="O14" i="1"/>
  <c r="O9" i="9"/>
  <c r="O17" i="76"/>
  <c r="N26" i="3"/>
  <c r="O24" i="88"/>
  <c r="O8" i="3"/>
  <c r="O65" i="78" s="1"/>
  <c r="O14" i="53"/>
  <c r="I11" i="92"/>
  <c r="I24" i="92" s="1"/>
  <c r="O4" i="78"/>
  <c r="O5" i="53"/>
  <c r="O5" i="83"/>
  <c r="O5" i="87"/>
  <c r="O5" i="9"/>
  <c r="P5" i="1"/>
  <c r="O5" i="81"/>
  <c r="O5" i="86"/>
  <c r="O5" i="88"/>
  <c r="O5" i="76"/>
  <c r="O5" i="3"/>
  <c r="P10" i="81"/>
  <c r="O17" i="3"/>
  <c r="O11" i="81"/>
  <c r="O12" i="81" s="1"/>
  <c r="O19" i="81" s="1"/>
  <c r="K30" i="92"/>
  <c r="M30" i="92" s="1"/>
  <c r="K18" i="92"/>
  <c r="M18" i="92" s="1"/>
  <c r="S9" i="92"/>
  <c r="U24" i="92"/>
  <c r="S14" i="92"/>
  <c r="T19" i="92"/>
  <c r="W24" i="92"/>
  <c r="T14" i="92"/>
  <c r="T9" i="92"/>
  <c r="S19" i="92"/>
  <c r="U19" i="92" s="1"/>
  <c r="K29" i="92" s="1"/>
  <c r="M29" i="92" s="1"/>
  <c r="K17" i="92"/>
  <c r="M17" i="92" s="1"/>
  <c r="K15" i="92"/>
  <c r="M15" i="92" s="1"/>
  <c r="K16" i="92"/>
  <c r="M16" i="92" s="1"/>
  <c r="K26" i="92"/>
  <c r="O14" i="3"/>
  <c r="P15" i="83"/>
  <c r="P19" i="83" s="1"/>
  <c r="O12" i="83"/>
  <c r="N12" i="129" l="1"/>
  <c r="N13" i="129" s="1"/>
  <c r="N14" i="129" s="1"/>
  <c r="O13" i="9"/>
  <c r="O21" i="128"/>
  <c r="O21" i="129"/>
  <c r="M24" i="129"/>
  <c r="M18" i="78"/>
  <c r="M17" i="78"/>
  <c r="O16" i="1"/>
  <c r="O10" i="128"/>
  <c r="O16" i="128" s="1"/>
  <c r="O10" i="129"/>
  <c r="O16" i="129" s="1"/>
  <c r="N12" i="128"/>
  <c r="N13" i="128" s="1"/>
  <c r="N14" i="128" s="1"/>
  <c r="N12" i="9"/>
  <c r="N20" i="129"/>
  <c r="N23" i="129" s="1"/>
  <c r="N20" i="128"/>
  <c r="K17" i="78"/>
  <c r="K18" i="78"/>
  <c r="L18" i="78"/>
  <c r="K36" i="78"/>
  <c r="K60" i="78"/>
  <c r="K40" i="78"/>
  <c r="K39" i="78"/>
  <c r="J39" i="78"/>
  <c r="J40" i="78"/>
  <c r="J60" i="78"/>
  <c r="P5" i="128"/>
  <c r="P5" i="129"/>
  <c r="J37" i="1"/>
  <c r="J25" i="1"/>
  <c r="K25" i="1"/>
  <c r="K37" i="1"/>
  <c r="J36" i="78"/>
  <c r="J17" i="78"/>
  <c r="J18" i="78"/>
  <c r="I26" i="92"/>
  <c r="M26" i="92" s="1"/>
  <c r="O16" i="78"/>
  <c r="O44" i="78"/>
  <c r="U14" i="92"/>
  <c r="K14" i="92" s="1"/>
  <c r="M14" i="92" s="1"/>
  <c r="O27" i="88"/>
  <c r="O36" i="88" s="1"/>
  <c r="O38" i="88" s="1"/>
  <c r="O34" i="78"/>
  <c r="O13" i="78"/>
  <c r="O14" i="78"/>
  <c r="P21" i="3"/>
  <c r="P18" i="53"/>
  <c r="O20" i="53"/>
  <c r="I21" i="78"/>
  <c r="O23" i="3"/>
  <c r="O75" i="78" s="1"/>
  <c r="O74" i="78"/>
  <c r="N34" i="78"/>
  <c r="N13" i="78"/>
  <c r="N14" i="78"/>
  <c r="P9" i="78"/>
  <c r="P10" i="78" s="1"/>
  <c r="P12" i="1"/>
  <c r="O19" i="76"/>
  <c r="P8" i="3"/>
  <c r="P65" i="78" s="1"/>
  <c r="P14" i="53"/>
  <c r="P9" i="9"/>
  <c r="P14" i="1"/>
  <c r="P17" i="76"/>
  <c r="N44" i="78"/>
  <c r="N16" i="78"/>
  <c r="P14" i="3"/>
  <c r="P12" i="83"/>
  <c r="P17" i="3"/>
  <c r="P11" i="81"/>
  <c r="P12" i="81" s="1"/>
  <c r="P19" i="81" s="1"/>
  <c r="P5" i="83"/>
  <c r="P5" i="9"/>
  <c r="H40" i="20"/>
  <c r="R7" i="1"/>
  <c r="P4" i="78"/>
  <c r="P5" i="87"/>
  <c r="P5" i="81"/>
  <c r="F40" i="20"/>
  <c r="P5" i="88"/>
  <c r="P5" i="76"/>
  <c r="G40" i="20"/>
  <c r="R3" i="1"/>
  <c r="P5" i="86"/>
  <c r="P5" i="53"/>
  <c r="P5" i="3"/>
  <c r="R9" i="1"/>
  <c r="R27" i="1"/>
  <c r="U9" i="92"/>
  <c r="K13" i="92" s="1"/>
  <c r="M13" i="92" s="1"/>
  <c r="N24" i="129" l="1"/>
  <c r="P13" i="9"/>
  <c r="P21" i="129"/>
  <c r="P21" i="128"/>
  <c r="F47" i="128"/>
  <c r="R7" i="128"/>
  <c r="F48" i="128"/>
  <c r="F32" i="128"/>
  <c r="R4" i="128"/>
  <c r="P10" i="129"/>
  <c r="P16" i="129" s="1"/>
  <c r="P10" i="128"/>
  <c r="P16" i="128" s="1"/>
  <c r="J27" i="78"/>
  <c r="J26" i="78"/>
  <c r="J20" i="78"/>
  <c r="J28" i="78"/>
  <c r="J29" i="86"/>
  <c r="J30" i="86" s="1"/>
  <c r="J29" i="1"/>
  <c r="J25" i="78"/>
  <c r="P9" i="129"/>
  <c r="P9" i="128"/>
  <c r="R9" i="128" s="1"/>
  <c r="K29" i="1"/>
  <c r="K29" i="86"/>
  <c r="K30" i="86" s="1"/>
  <c r="K26" i="78"/>
  <c r="K20" i="78"/>
  <c r="K27" i="78"/>
  <c r="K25" i="78"/>
  <c r="K28" i="78"/>
  <c r="P20" i="53"/>
  <c r="P22" i="53" s="1"/>
  <c r="O12" i="129"/>
  <c r="O13" i="129" s="1"/>
  <c r="O14" i="129" s="1"/>
  <c r="F47" i="129"/>
  <c r="R9" i="129"/>
  <c r="R7" i="129"/>
  <c r="F48" i="129"/>
  <c r="F32" i="129"/>
  <c r="R4" i="129"/>
  <c r="N23" i="128"/>
  <c r="N24" i="128" s="1"/>
  <c r="O12" i="128"/>
  <c r="O13" i="128" s="1"/>
  <c r="O14" i="128" s="1"/>
  <c r="F42" i="20"/>
  <c r="P12" i="78"/>
  <c r="R12" i="78" s="1"/>
  <c r="P16" i="1"/>
  <c r="O22" i="53"/>
  <c r="R12" i="1"/>
  <c r="N18" i="78"/>
  <c r="N17" i="78"/>
  <c r="P15" i="76"/>
  <c r="P19" i="76" s="1"/>
  <c r="O13" i="3"/>
  <c r="O71" i="78" s="1"/>
  <c r="O85" i="78" s="1"/>
  <c r="O13" i="76"/>
  <c r="P74" i="78"/>
  <c r="P23" i="3"/>
  <c r="P75" i="78" s="1"/>
  <c r="O26" i="3"/>
  <c r="P24" i="88"/>
  <c r="O18" i="78"/>
  <c r="O17" i="78"/>
  <c r="R6" i="78"/>
  <c r="R9" i="78"/>
  <c r="R3" i="78"/>
  <c r="E66" i="1"/>
  <c r="P12" i="9" l="1"/>
  <c r="P20" i="128"/>
  <c r="P20" i="129"/>
  <c r="J48" i="129"/>
  <c r="P33" i="129"/>
  <c r="P34" i="129" s="1"/>
  <c r="P45" i="129"/>
  <c r="P12" i="129"/>
  <c r="J48" i="128"/>
  <c r="P45" i="128"/>
  <c r="P12" i="128"/>
  <c r="J21" i="78"/>
  <c r="J22" i="78"/>
  <c r="K22" i="78"/>
  <c r="K21" i="78"/>
  <c r="O12" i="9"/>
  <c r="O20" i="129"/>
  <c r="O23" i="129" s="1"/>
  <c r="O20" i="128"/>
  <c r="O23" i="128" s="1"/>
  <c r="O24" i="128" s="1"/>
  <c r="P27" i="88"/>
  <c r="P26" i="3" s="1"/>
  <c r="P44" i="78"/>
  <c r="P16" i="78"/>
  <c r="G42" i="20"/>
  <c r="R16" i="1"/>
  <c r="P13" i="78"/>
  <c r="P34" i="78"/>
  <c r="P14" i="78"/>
  <c r="P13" i="3"/>
  <c r="P71" i="78" s="1"/>
  <c r="P85" i="78" s="1"/>
  <c r="P13" i="76"/>
  <c r="O24" i="129" l="1"/>
  <c r="R12" i="128"/>
  <c r="P13" i="128"/>
  <c r="P14" i="128" s="1"/>
  <c r="P23" i="128" s="1"/>
  <c r="P13" i="129"/>
  <c r="P14" i="129" s="1"/>
  <c r="P23" i="129" s="1"/>
  <c r="J30" i="129" s="1"/>
  <c r="R12" i="129"/>
  <c r="P36" i="88"/>
  <c r="P38" i="88" s="1"/>
  <c r="P18" i="78"/>
  <c r="P17" i="78"/>
  <c r="R16" i="78"/>
  <c r="P48" i="129" l="1"/>
  <c r="P49" i="129" s="1"/>
  <c r="P50" i="129" s="1"/>
  <c r="P24" i="129"/>
  <c r="J45" i="129"/>
  <c r="J49" i="129" s="1"/>
  <c r="J50" i="129" s="1"/>
  <c r="J33" i="129"/>
  <c r="J34" i="129" s="1"/>
  <c r="J36" i="129" s="1"/>
  <c r="J38" i="129" s="1"/>
  <c r="J42" i="129" s="1"/>
  <c r="G72" i="129" s="1"/>
  <c r="C57" i="129"/>
  <c r="P30" i="129"/>
  <c r="P36" i="129" s="1"/>
  <c r="P38" i="129" s="1"/>
  <c r="P42" i="129" s="1"/>
  <c r="G94" i="129" s="1"/>
  <c r="P48" i="128"/>
  <c r="P24" i="128"/>
  <c r="J45" i="128"/>
  <c r="J49" i="128" s="1"/>
  <c r="J50" i="128" s="1"/>
  <c r="C57" i="128"/>
  <c r="P49" i="128" l="1"/>
  <c r="P50" i="128" s="1"/>
  <c r="L7" i="3" l="1"/>
  <c r="M7" i="3"/>
  <c r="N7" i="3"/>
  <c r="O7" i="3"/>
  <c r="P7" i="3"/>
  <c r="L11" i="3"/>
  <c r="M11" i="3"/>
  <c r="N11" i="3"/>
  <c r="O11" i="3"/>
  <c r="P11" i="3"/>
  <c r="L19" i="3"/>
  <c r="M19" i="3"/>
  <c r="N19" i="3"/>
  <c r="O19" i="3"/>
  <c r="P19" i="3"/>
  <c r="L25" i="3"/>
  <c r="M25" i="3"/>
  <c r="N25" i="3"/>
  <c r="O25" i="3"/>
  <c r="P25" i="3"/>
  <c r="L28" i="3"/>
  <c r="M28" i="3"/>
  <c r="N28" i="3"/>
  <c r="O28" i="3"/>
  <c r="P28" i="3"/>
  <c r="L30" i="3"/>
  <c r="M30" i="3"/>
  <c r="N30" i="3"/>
  <c r="O30" i="3"/>
  <c r="P30" i="3"/>
  <c r="L32" i="3"/>
  <c r="M32" i="3"/>
  <c r="N32" i="3"/>
  <c r="O32" i="3"/>
  <c r="P32" i="3"/>
  <c r="L33" i="3"/>
  <c r="M33" i="3"/>
  <c r="N33" i="3"/>
  <c r="O33" i="3"/>
  <c r="P33" i="3"/>
  <c r="L7" i="9"/>
  <c r="M7" i="9"/>
  <c r="N7" i="9"/>
  <c r="O7" i="9"/>
  <c r="P7" i="9"/>
  <c r="L14" i="9"/>
  <c r="M14" i="9"/>
  <c r="N14" i="9"/>
  <c r="O14" i="9"/>
  <c r="P14" i="9"/>
  <c r="L21" i="9"/>
  <c r="M21" i="9"/>
  <c r="N21" i="9"/>
  <c r="O21" i="9"/>
  <c r="P21" i="9"/>
  <c r="L24" i="9"/>
  <c r="M24" i="9"/>
  <c r="N24" i="9"/>
  <c r="O24" i="9"/>
  <c r="P24" i="9"/>
  <c r="L27" i="9"/>
  <c r="M27" i="9"/>
  <c r="N27" i="9"/>
  <c r="O27" i="9"/>
  <c r="P27" i="9"/>
  <c r="L28" i="9"/>
  <c r="M28" i="9"/>
  <c r="N28" i="9"/>
  <c r="O28" i="9"/>
  <c r="P28" i="9"/>
  <c r="L30" i="9"/>
  <c r="M30" i="9"/>
  <c r="N30" i="9"/>
  <c r="O30" i="9"/>
  <c r="P30" i="9"/>
  <c r="L32" i="9"/>
  <c r="M32" i="9"/>
  <c r="N32" i="9"/>
  <c r="O32" i="9"/>
  <c r="P32" i="9"/>
  <c r="M33" i="9"/>
  <c r="N33" i="9"/>
  <c r="O33" i="9"/>
  <c r="P33" i="9"/>
  <c r="L34" i="9"/>
  <c r="M34" i="9"/>
  <c r="N34" i="9"/>
  <c r="O34" i="9"/>
  <c r="P34" i="9"/>
  <c r="L7" i="88"/>
  <c r="M7" i="88"/>
  <c r="N7" i="88"/>
  <c r="O7" i="88"/>
  <c r="P7" i="88"/>
  <c r="L8" i="88"/>
  <c r="M8" i="88"/>
  <c r="N8" i="88"/>
  <c r="O8" i="88"/>
  <c r="P8" i="88"/>
  <c r="L9" i="88"/>
  <c r="M9" i="88"/>
  <c r="N9" i="88"/>
  <c r="O9" i="88"/>
  <c r="P9" i="88"/>
  <c r="M11" i="88"/>
  <c r="N11" i="88"/>
  <c r="O11" i="88"/>
  <c r="P11" i="88"/>
  <c r="L13" i="88"/>
  <c r="M13" i="88"/>
  <c r="N13" i="88"/>
  <c r="O13" i="88"/>
  <c r="P13" i="88"/>
  <c r="L16" i="88"/>
  <c r="M16" i="88"/>
  <c r="N16" i="88"/>
  <c r="O16" i="88"/>
  <c r="P16" i="88"/>
  <c r="M19" i="88"/>
  <c r="N19" i="88"/>
  <c r="O19" i="88"/>
  <c r="P19" i="88"/>
  <c r="L20" i="88"/>
  <c r="M20" i="88"/>
  <c r="N20" i="88"/>
  <c r="O20" i="88"/>
  <c r="P20" i="88"/>
  <c r="L21" i="88"/>
  <c r="M21" i="88"/>
  <c r="N21" i="88"/>
  <c r="O21" i="88"/>
  <c r="P21" i="88"/>
  <c r="L30" i="88"/>
  <c r="M30" i="88"/>
  <c r="N30" i="88"/>
  <c r="O30" i="88"/>
  <c r="P30" i="88"/>
  <c r="L34" i="88"/>
  <c r="M34" i="88"/>
  <c r="N34" i="88"/>
  <c r="O34" i="88"/>
  <c r="P34" i="88"/>
  <c r="L40" i="88"/>
  <c r="M40" i="88"/>
  <c r="N40" i="88"/>
  <c r="O40" i="88"/>
  <c r="P40" i="88"/>
  <c r="L42" i="88"/>
  <c r="M42" i="88"/>
  <c r="N42" i="88"/>
  <c r="O42" i="88"/>
  <c r="P42" i="88"/>
  <c r="L44" i="88"/>
  <c r="M44" i="88"/>
  <c r="N44" i="88"/>
  <c r="O44" i="88"/>
  <c r="P44" i="88"/>
  <c r="M7" i="86"/>
  <c r="N7" i="86"/>
  <c r="O7" i="86"/>
  <c r="P7" i="86"/>
  <c r="L8" i="86"/>
  <c r="M8" i="86"/>
  <c r="N8" i="86"/>
  <c r="O8" i="86"/>
  <c r="P8" i="86"/>
  <c r="L10" i="86"/>
  <c r="M10" i="86"/>
  <c r="N10" i="86"/>
  <c r="O10" i="86"/>
  <c r="P10" i="86"/>
  <c r="L11" i="86"/>
  <c r="M11" i="86"/>
  <c r="N11" i="86"/>
  <c r="O11" i="86"/>
  <c r="P11" i="86"/>
  <c r="L13" i="86"/>
  <c r="M13" i="86"/>
  <c r="N13" i="86"/>
  <c r="O13" i="86"/>
  <c r="P13" i="86"/>
  <c r="L16" i="86"/>
  <c r="M16" i="86"/>
  <c r="N16" i="86"/>
  <c r="O16" i="86"/>
  <c r="P16" i="86"/>
  <c r="L18" i="86"/>
  <c r="M18" i="86"/>
  <c r="N18" i="86"/>
  <c r="O18" i="86"/>
  <c r="P18" i="86"/>
  <c r="L20" i="86"/>
  <c r="M20" i="86"/>
  <c r="N20" i="86"/>
  <c r="O20" i="86"/>
  <c r="P20" i="86"/>
  <c r="L28" i="86"/>
  <c r="M28" i="86"/>
  <c r="N28" i="86"/>
  <c r="O28" i="86"/>
  <c r="P28" i="86"/>
  <c r="L29" i="86"/>
  <c r="M29" i="86"/>
  <c r="N29" i="86"/>
  <c r="O29" i="86"/>
  <c r="P29" i="86"/>
  <c r="H31" i="20"/>
  <c r="I31" i="20"/>
  <c r="J31" i="20"/>
  <c r="H42" i="20"/>
  <c r="L18" i="1"/>
  <c r="M18" i="1"/>
  <c r="N18" i="1"/>
  <c r="O18" i="1"/>
  <c r="P18" i="1"/>
  <c r="L19" i="1"/>
  <c r="M19" i="1"/>
  <c r="N19" i="1"/>
  <c r="O19" i="1"/>
  <c r="P19" i="1"/>
  <c r="L21" i="1"/>
  <c r="M21" i="1"/>
  <c r="N21" i="1"/>
  <c r="O21" i="1"/>
  <c r="P21" i="1"/>
  <c r="R21" i="1"/>
  <c r="L23" i="1"/>
  <c r="M23" i="1"/>
  <c r="N23" i="1"/>
  <c r="O23" i="1"/>
  <c r="P23" i="1"/>
  <c r="L25" i="1"/>
  <c r="M25" i="1"/>
  <c r="N25" i="1"/>
  <c r="O25" i="1"/>
  <c r="P25" i="1"/>
  <c r="R25" i="1"/>
  <c r="L29" i="1"/>
  <c r="M29" i="1"/>
  <c r="N29" i="1"/>
  <c r="O29" i="1"/>
  <c r="P29" i="1"/>
  <c r="R29" i="1"/>
  <c r="L20" i="78"/>
  <c r="M20" i="78"/>
  <c r="N20" i="78"/>
  <c r="O20" i="78"/>
  <c r="P20" i="78"/>
  <c r="R20" i="78"/>
  <c r="L21" i="78"/>
  <c r="M21" i="78"/>
  <c r="N21" i="78"/>
  <c r="O21" i="78"/>
  <c r="P21" i="78"/>
  <c r="L22" i="78"/>
  <c r="M22" i="78"/>
  <c r="N22" i="78"/>
  <c r="O22" i="78"/>
  <c r="P22" i="78"/>
  <c r="L25" i="78"/>
  <c r="M25" i="78"/>
  <c r="N25" i="78"/>
  <c r="O25" i="78"/>
  <c r="P25" i="78"/>
  <c r="L26" i="78"/>
  <c r="M26" i="78"/>
  <c r="N26" i="78"/>
  <c r="O26" i="78"/>
  <c r="P26" i="78"/>
  <c r="L27" i="78"/>
  <c r="M27" i="78"/>
  <c r="N27" i="78"/>
  <c r="O27" i="78"/>
  <c r="P27" i="78"/>
  <c r="L28" i="78"/>
  <c r="M28" i="78"/>
  <c r="N28" i="78"/>
  <c r="O28" i="78"/>
  <c r="P28" i="78"/>
  <c r="L31" i="78"/>
  <c r="M31" i="78"/>
  <c r="N31" i="78"/>
  <c r="O31" i="78"/>
  <c r="P31" i="78"/>
  <c r="L36" i="78"/>
  <c r="M36" i="78"/>
  <c r="N36" i="78"/>
  <c r="O36" i="78"/>
  <c r="P36" i="78"/>
  <c r="L37" i="78"/>
  <c r="M37" i="78"/>
  <c r="N37" i="78"/>
  <c r="O37" i="78"/>
  <c r="P37" i="78"/>
  <c r="L38" i="78"/>
  <c r="M38" i="78"/>
  <c r="N38" i="78"/>
  <c r="O38" i="78"/>
  <c r="P38" i="78"/>
  <c r="L39" i="78"/>
  <c r="M39" i="78"/>
  <c r="N39" i="78"/>
  <c r="O39" i="78"/>
  <c r="P39" i="78"/>
  <c r="L40" i="78"/>
  <c r="M40" i="78"/>
  <c r="N40" i="78"/>
  <c r="O40" i="78"/>
  <c r="P40" i="78"/>
  <c r="L45" i="78"/>
  <c r="M45" i="78"/>
  <c r="N45" i="78"/>
  <c r="O45" i="78"/>
  <c r="P45" i="78"/>
  <c r="L47" i="78"/>
  <c r="M47" i="78"/>
  <c r="N47" i="78"/>
  <c r="O47" i="78"/>
  <c r="P47" i="78"/>
  <c r="L48" i="78"/>
  <c r="M48" i="78"/>
  <c r="N48" i="78"/>
  <c r="O48" i="78"/>
  <c r="P48" i="78"/>
  <c r="L49" i="78"/>
  <c r="M49" i="78"/>
  <c r="N49" i="78"/>
  <c r="O49" i="78"/>
  <c r="P49" i="78"/>
  <c r="L50" i="78"/>
  <c r="M50" i="78"/>
  <c r="N50" i="78"/>
  <c r="O50" i="78"/>
  <c r="P50" i="78"/>
  <c r="L58" i="78"/>
  <c r="M58" i="78"/>
  <c r="N58" i="78"/>
  <c r="O58" i="78"/>
  <c r="P58" i="78"/>
  <c r="L59" i="78"/>
  <c r="M59" i="78"/>
  <c r="N59" i="78"/>
  <c r="O59" i="78"/>
  <c r="P59" i="78"/>
  <c r="L60" i="78"/>
  <c r="M60" i="78"/>
  <c r="N60" i="78"/>
  <c r="O60" i="78"/>
  <c r="P60" i="78"/>
  <c r="L64" i="78"/>
  <c r="M64" i="78"/>
  <c r="N64" i="78"/>
  <c r="O64" i="78"/>
  <c r="P64" i="78"/>
  <c r="L66" i="78"/>
  <c r="M66" i="78"/>
  <c r="N66" i="78"/>
  <c r="O66" i="78"/>
  <c r="P66" i="78"/>
  <c r="L69" i="78"/>
  <c r="M69" i="78"/>
  <c r="N69" i="78"/>
  <c r="O69" i="78"/>
  <c r="P69" i="78"/>
  <c r="L72" i="78"/>
  <c r="M72" i="78"/>
  <c r="N72" i="78"/>
  <c r="O72" i="78"/>
  <c r="P72" i="78"/>
  <c r="L77" i="78"/>
  <c r="M77" i="78"/>
  <c r="N77" i="78"/>
  <c r="O77" i="78"/>
  <c r="P77" i="78"/>
  <c r="L78" i="78"/>
  <c r="M78" i="78"/>
  <c r="N78" i="78"/>
  <c r="O78" i="78"/>
  <c r="P78" i="78"/>
  <c r="L79" i="78"/>
  <c r="M79" i="78"/>
  <c r="N79" i="78"/>
  <c r="O79" i="78"/>
  <c r="P79" i="78"/>
  <c r="L86" i="78"/>
  <c r="M86" i="78"/>
  <c r="N86" i="78"/>
  <c r="O86" i="78"/>
  <c r="P86" i="78"/>
  <c r="L89" i="78"/>
  <c r="M89" i="78"/>
  <c r="N89" i="78"/>
  <c r="O89" i="78"/>
  <c r="P89" i="78"/>
  <c r="L90" i="78"/>
  <c r="M90" i="78"/>
  <c r="N90" i="78"/>
  <c r="O90" i="78"/>
  <c r="P90" i="78"/>
  <c r="C5" i="92"/>
  <c r="G7" i="92"/>
  <c r="I7" i="92"/>
  <c r="K7" i="92"/>
  <c r="M7" i="92"/>
  <c r="P24" i="92"/>
  <c r="Q24" i="92"/>
  <c r="S24" i="92"/>
  <c r="T24" i="92"/>
  <c r="V24" i="92"/>
  <c r="X24" i="92"/>
  <c r="G28" i="92"/>
  <c r="I28" i="92"/>
  <c r="K28" i="92"/>
  <c r="M28" i="92"/>
  <c r="G31" i="92"/>
  <c r="I31" i="92"/>
  <c r="K31" i="92"/>
  <c r="M31" i="92"/>
  <c r="G32" i="92"/>
  <c r="I32" i="92"/>
  <c r="K32" i="92"/>
  <c r="F33" i="92"/>
  <c r="F34" i="92"/>
</calcChain>
</file>

<file path=xl/comments1.xml><?xml version="1.0" encoding="utf-8"?>
<comments xmlns="http://schemas.openxmlformats.org/spreadsheetml/2006/main">
  <authors>
    <author>Training the Street</author>
    <author>Training The Street</author>
  </authors>
  <commentList>
    <comment ref="I11" authorId="0" shapeId="0">
      <text>
        <r>
          <rPr>
            <b/>
            <sz val="8"/>
            <color indexed="81"/>
            <rFont val="Tahoma"/>
            <family val="2"/>
          </rPr>
          <t>Training The Street:</t>
        </r>
        <r>
          <rPr>
            <sz val="8"/>
            <color indexed="81"/>
            <rFont val="Tahoma"/>
            <family val="2"/>
          </rPr>
          <t xml:space="preserve">
Source:  McCormick 2013 10-K, MD&amp;A, pg. 16.  Excludes acquisition transaction costs of $10.9mm.</t>
        </r>
      </text>
    </comment>
    <comment ref="J11" authorId="0" shapeId="0">
      <text>
        <r>
          <rPr>
            <b/>
            <sz val="8"/>
            <color indexed="81"/>
            <rFont val="Tahoma"/>
            <family val="2"/>
          </rPr>
          <t>Training The Street:</t>
        </r>
        <r>
          <rPr>
            <sz val="8"/>
            <color indexed="81"/>
            <rFont val="Tahoma"/>
            <family val="2"/>
          </rPr>
          <t xml:space="preserve">
Source:  McCormick 2013 10-K, MD&amp;A, pg. 33 .  Excludes WAPC acquisition transaction costs of $1.7mm.</t>
        </r>
      </text>
    </comment>
    <comment ref="K11" authorId="0" shapeId="0">
      <text>
        <r>
          <rPr>
            <b/>
            <sz val="8"/>
            <color indexed="81"/>
            <rFont val="Tahoma"/>
            <family val="2"/>
          </rPr>
          <t>Training The Street:</t>
        </r>
        <r>
          <rPr>
            <sz val="8"/>
            <color indexed="81"/>
            <rFont val="Tahoma"/>
            <family val="2"/>
          </rPr>
          <t xml:space="preserve">
Source:  McCormick 2013 10-K, MD&amp;A, pg. 33 .  Excludes WAPC acquisition transaction costs of $4.3mm.</t>
        </r>
      </text>
    </comment>
    <comment ref="K14" authorId="0" shapeId="0">
      <text>
        <r>
          <rPr>
            <b/>
            <sz val="8"/>
            <color indexed="81"/>
            <rFont val="Tahoma"/>
            <family val="2"/>
          </rPr>
          <t>Training The Street:</t>
        </r>
        <r>
          <rPr>
            <sz val="8"/>
            <color indexed="81"/>
            <rFont val="Tahoma"/>
            <family val="2"/>
          </rPr>
          <t xml:space="preserve">
Source:  McCormick 2013 10-K, CF, p. 29.  Depreciation and amortization less amortization (from Note 4, p. 34).  
</t>
        </r>
      </text>
    </comment>
    <comment ref="K15" authorId="0" shapeId="0">
      <text>
        <r>
          <rPr>
            <b/>
            <sz val="8"/>
            <color indexed="81"/>
            <rFont val="Tahoma"/>
            <family val="2"/>
          </rPr>
          <t>Training The Street:</t>
        </r>
        <r>
          <rPr>
            <sz val="8"/>
            <color indexed="81"/>
            <rFont val="Tahoma"/>
            <family val="2"/>
          </rPr>
          <t xml:space="preserve">
Source:  McCormick 2013 10-K, Note 4, p. 34.
Intangible asset amortization expense.</t>
        </r>
      </text>
    </comment>
    <comment ref="K18" authorId="0" shapeId="0">
      <text>
        <r>
          <rPr>
            <b/>
            <sz val="8"/>
            <color indexed="81"/>
            <rFont val="Tahoma"/>
            <family val="2"/>
          </rPr>
          <t>Training The Street:</t>
        </r>
        <r>
          <rPr>
            <sz val="8"/>
            <color indexed="81"/>
            <rFont val="Tahoma"/>
            <family val="2"/>
          </rPr>
          <t xml:space="preserve">
Note, does not tie with Interest Paid, McCormick 2013 10-K, Note 16, p. 50.</t>
        </r>
      </text>
    </comment>
    <comment ref="K19" authorId="1" shapeId="0">
      <text>
        <r>
          <rPr>
            <b/>
            <sz val="9"/>
            <color indexed="81"/>
            <rFont val="Tahoma"/>
            <family val="2"/>
          </rPr>
          <t>Training The Street:</t>
        </r>
        <r>
          <rPr>
            <sz val="9"/>
            <color indexed="81"/>
            <rFont val="Tahoma"/>
            <family val="2"/>
          </rPr>
          <t xml:space="preserve">
</t>
        </r>
        <r>
          <rPr>
            <sz val="8"/>
            <color indexed="81"/>
            <rFont val="Tahoma"/>
            <family val="2"/>
          </rPr>
          <t>Interest income embedded in other non-operating with no dollar value disclosed.</t>
        </r>
      </text>
    </comment>
    <comment ref="I23" authorId="0" shapeId="0">
      <text>
        <r>
          <rPr>
            <b/>
            <sz val="8"/>
            <color indexed="81"/>
            <rFont val="Tahoma"/>
            <family val="2"/>
          </rPr>
          <t>Training The Street:</t>
        </r>
        <r>
          <rPr>
            <sz val="8"/>
            <color indexed="81"/>
            <rFont val="Tahoma"/>
            <family val="2"/>
          </rPr>
          <t xml:space="preserve">
Source:  McCormick 2013 10-K, I/S p. 27. </t>
        </r>
      </text>
    </comment>
    <comment ref="J23" authorId="0" shapeId="0">
      <text>
        <r>
          <rPr>
            <b/>
            <sz val="8"/>
            <color indexed="81"/>
            <rFont val="Tahoma"/>
            <family val="2"/>
          </rPr>
          <t>Training The Street:</t>
        </r>
        <r>
          <rPr>
            <sz val="8"/>
            <color indexed="81"/>
            <rFont val="Tahoma"/>
            <family val="2"/>
          </rPr>
          <t xml:space="preserve">
Source:  McCormick 2013 10-K, I/S p. 27. </t>
        </r>
      </text>
    </comment>
    <comment ref="K23" authorId="0" shapeId="0">
      <text>
        <r>
          <rPr>
            <b/>
            <sz val="8"/>
            <color indexed="81"/>
            <rFont val="Tahoma"/>
            <family val="2"/>
          </rPr>
          <t>Training The Street:</t>
        </r>
        <r>
          <rPr>
            <sz val="8"/>
            <color indexed="81"/>
            <rFont val="Tahoma"/>
            <family val="2"/>
          </rPr>
          <t xml:space="preserve">
Source:  McCormick 2013 10-K, I/S p. 27. </t>
        </r>
      </text>
    </comment>
    <comment ref="AC23" authorId="0" shapeId="0">
      <text>
        <r>
          <rPr>
            <b/>
            <sz val="8"/>
            <color indexed="81"/>
            <rFont val="Tahoma"/>
            <family val="2"/>
          </rPr>
          <t>Training The Street:</t>
        </r>
        <r>
          <rPr>
            <sz val="8"/>
            <color indexed="81"/>
            <rFont val="Tahoma"/>
            <family val="2"/>
          </rPr>
          <t xml:space="preserve">
Source:  McCormick 2013 10-K, Note 11, p. 46.
Includes federal, state and international.</t>
        </r>
      </text>
    </comment>
    <comment ref="I27" authorId="0" shapeId="0">
      <text>
        <r>
          <rPr>
            <b/>
            <sz val="8"/>
            <color indexed="81"/>
            <rFont val="Tahoma"/>
            <family val="2"/>
          </rPr>
          <t>Training The Street:</t>
        </r>
        <r>
          <rPr>
            <sz val="8"/>
            <color indexed="81"/>
            <rFont val="Tahoma"/>
            <family val="2"/>
          </rPr>
          <t xml:space="preserve">
Source:  McCormick 2013 10-K, Note 12, p. 47.</t>
        </r>
      </text>
    </comment>
    <comment ref="L33" authorId="0" shapeId="0">
      <text>
        <r>
          <rPr>
            <b/>
            <sz val="8"/>
            <color indexed="81"/>
            <rFont val="Tahoma"/>
            <family val="2"/>
          </rPr>
          <t>Training The Street:</t>
        </r>
        <r>
          <rPr>
            <sz val="8"/>
            <color indexed="81"/>
            <rFont val="Tahoma"/>
            <family val="2"/>
          </rPr>
          <t xml:space="preserve">
Source:  McCormick 4Q 2013 Conference Call Transcript, p. 5, p. 7
&amp; McCormick 4Q 2013 Investor Presentation, p. 65</t>
        </r>
        <r>
          <rPr>
            <i/>
            <sz val="8"/>
            <color indexed="81"/>
            <rFont val="Tahoma"/>
            <family val="2"/>
          </rPr>
          <t xml:space="preserve">
"We expect to grow sales 3% to 5%. This projection is just below our 4% to 6% long-term growth goal and reflects a slower start to our consumer and industrial businesses in the U.S. We expect volume, pricing and the incremental impact of WAPC in the first half of the year to have similar contribution to our 2014 sales growth.  At this time, we project the impact of currency to be just neutral to sales and profit in 2014."
</t>
        </r>
        <r>
          <rPr>
            <sz val="8"/>
            <color indexed="81"/>
            <rFont val="Tahoma"/>
            <family val="2"/>
          </rPr>
          <t xml:space="preserve">Source:  McCormick 2013 10-K, p. 13
</t>
        </r>
        <r>
          <rPr>
            <i/>
            <sz val="8"/>
            <color indexed="81"/>
            <rFont val="Tahoma"/>
            <family val="2"/>
          </rPr>
          <t xml:space="preserve">"In 2014, we expect to grow sales in a 3% to 5% range from 2013 driven by higher volume, pricing and the incremental impact
in the first half of 2014 of the WAPC acquisition."
</t>
        </r>
      </text>
    </comment>
    <comment ref="L34" authorId="0" shapeId="0">
      <text>
        <r>
          <rPr>
            <b/>
            <sz val="8"/>
            <color indexed="81"/>
            <rFont val="Tahoma"/>
            <family val="2"/>
          </rPr>
          <t>Training The Street:</t>
        </r>
        <r>
          <rPr>
            <sz val="8"/>
            <color indexed="81"/>
            <rFont val="Tahoma"/>
            <family val="2"/>
          </rPr>
          <t xml:space="preserve">
Source:  McCormick 4Q 2013 Conference Call Transcript, p. 7.
&amp; McCormick 4Q 2013 Investor Presentation, p. 65</t>
        </r>
        <r>
          <rPr>
            <i/>
            <sz val="8"/>
            <color indexed="81"/>
            <rFont val="Tahoma"/>
            <family val="2"/>
          </rPr>
          <t xml:space="preserve">
"We expect CCI cost savings of at least $45 million, which, along with our pricing actions and more favorable business mix and low single-digit cost inflation, to lead to a 50 to 100 basis point increase in gross profit margin. 
</t>
        </r>
        <r>
          <rPr>
            <sz val="8"/>
            <color indexed="81"/>
            <rFont val="Tahoma"/>
            <family val="2"/>
          </rPr>
          <t xml:space="preserve">
Source:  McCormick 2013 10-K, p. 13</t>
        </r>
        <r>
          <rPr>
            <i/>
            <sz val="8"/>
            <color indexed="81"/>
            <rFont val="Tahoma"/>
            <family val="2"/>
          </rPr>
          <t xml:space="preserve">
"In 2014, we expect to improve in our gross profit margin by 50 to 100 basis points from 2013 due to CCI cost savings, together with a more favorable business mix."
</t>
        </r>
      </text>
    </comment>
    <comment ref="L35" authorId="0" shapeId="0">
      <text>
        <r>
          <rPr>
            <b/>
            <sz val="8"/>
            <color indexed="81"/>
            <rFont val="Tahoma"/>
            <family val="2"/>
          </rPr>
          <t>Training The Street:</t>
        </r>
        <r>
          <rPr>
            <sz val="8"/>
            <color indexed="81"/>
            <rFont val="Tahoma"/>
            <family val="2"/>
          </rPr>
          <t xml:space="preserve">
Source:  McCormick 4Q 2013 Conference Call Transcript, p. 7.
</t>
        </r>
        <r>
          <rPr>
            <i/>
            <sz val="8"/>
            <color indexed="81"/>
            <rFont val="Tahoma"/>
            <family val="2"/>
          </rPr>
          <t xml:space="preserve">
" ..an estimated $15 million decrease in retirement benefit expense that is largely the result of a year-on-year increase in the pension discount rate. However, we expect this favorable impact to be offset by higher employee incentive payments as we return to a more normal level of payout."
</t>
        </r>
      </text>
    </comment>
    <comment ref="L36" authorId="0" shapeId="0">
      <text>
        <r>
          <rPr>
            <b/>
            <sz val="8"/>
            <color indexed="81"/>
            <rFont val="Tahoma"/>
            <family val="2"/>
          </rPr>
          <t>Training The Street:</t>
        </r>
        <r>
          <rPr>
            <sz val="8"/>
            <color indexed="81"/>
            <rFont val="Tahoma"/>
            <family val="2"/>
          </rPr>
          <t xml:space="preserve">
Source:  McCormick 4Q 2013 10Q, I/S p. 2</t>
        </r>
        <r>
          <rPr>
            <i/>
            <sz val="8"/>
            <color indexed="81"/>
            <rFont val="Tahoma"/>
            <family val="2"/>
          </rPr>
          <t xml:space="preserve">
Other income, net for 9 months ended August 31, 2014 = $0.8mm vs. $1.7mm for the same period in 2013. 
TTS assumption of $0.3mm income in Q4 2014 = $0.8 + $0.3 = $1.1 for FY2014.
</t>
        </r>
      </text>
    </comment>
    <comment ref="L37" authorId="0" shapeId="0">
      <text>
        <r>
          <rPr>
            <b/>
            <sz val="8"/>
            <color indexed="81"/>
            <rFont val="Tahoma"/>
            <family val="2"/>
          </rPr>
          <t>Training The Street:</t>
        </r>
        <r>
          <rPr>
            <sz val="8"/>
            <color indexed="81"/>
            <rFont val="Tahoma"/>
            <family val="2"/>
          </rPr>
          <t xml:space="preserve">
Source:  McCormick 3Q 2014 Conference Call Transcript, p. 6
"We now believe that the tax rate for fiscal year 2014 will come in at approximately 27%.… a combination of 3 things: an updated mix of business across tax jurisdictions, France released final regulations clarifying the impact of the tax law change and other discrete tax items."</t>
        </r>
      </text>
    </comment>
    <comment ref="F52" authorId="1" shapeId="0">
      <text>
        <r>
          <rPr>
            <b/>
            <sz val="8"/>
            <color indexed="81"/>
            <rFont val="Tahoma"/>
            <family val="2"/>
          </rPr>
          <t>Training The Street:</t>
        </r>
        <r>
          <rPr>
            <sz val="8"/>
            <color indexed="81"/>
            <rFont val="Tahoma"/>
            <family val="2"/>
          </rPr>
          <t xml:space="preserve">
Output cell =L29
Column input cell = L34</t>
        </r>
      </text>
    </comment>
    <comment ref="E69" authorId="1" shapeId="0">
      <text>
        <r>
          <rPr>
            <b/>
            <sz val="8"/>
            <color indexed="81"/>
            <rFont val="Tahoma"/>
            <family val="2"/>
          </rPr>
          <t>Training The Street:</t>
        </r>
        <r>
          <rPr>
            <sz val="8"/>
            <color indexed="81"/>
            <rFont val="Tahoma"/>
            <family val="2"/>
          </rPr>
          <t xml:space="preserve">
Output Cell =R29
Row Input Cell = L33
Column Input Cell = L34</t>
        </r>
      </text>
    </comment>
  </commentList>
</comments>
</file>

<file path=xl/comments2.xml><?xml version="1.0" encoding="utf-8"?>
<comments xmlns="http://schemas.openxmlformats.org/spreadsheetml/2006/main">
  <authors>
    <author>Training the Street</author>
  </authors>
  <commentList>
    <comment ref="I10" authorId="0" shapeId="0">
      <text>
        <r>
          <rPr>
            <b/>
            <sz val="8"/>
            <color indexed="81"/>
            <rFont val="Tahoma"/>
            <family val="2"/>
          </rPr>
          <t>Training The Street:</t>
        </r>
        <r>
          <rPr>
            <sz val="8"/>
            <color indexed="81"/>
            <rFont val="Tahoma"/>
            <family val="2"/>
          </rPr>
          <t xml:space="preserve">
Source:  McCormick 2012 10-K, Balance Sheet, p. 34 &amp;  Note 15, p. 60.  
Includes prepaid expenses and other current assets. </t>
        </r>
      </text>
    </comment>
    <comment ref="K10" authorId="0" shapeId="0">
      <text>
        <r>
          <rPr>
            <b/>
            <sz val="8"/>
            <color indexed="81"/>
            <rFont val="Tahoma"/>
            <family val="2"/>
          </rPr>
          <t>Training The Street:</t>
        </r>
        <r>
          <rPr>
            <sz val="8"/>
            <color indexed="81"/>
            <rFont val="Tahoma"/>
            <family val="2"/>
          </rPr>
          <t xml:space="preserve">
Source:  McCormick 2013 10K, Balance Sheet, p. 28 &amp;  Note 16, p. 49.  
Includes prepaid expenses and other current assets. </t>
        </r>
      </text>
    </comment>
    <comment ref="I14" authorId="0" shapeId="0">
      <text>
        <r>
          <rPr>
            <b/>
            <sz val="8"/>
            <color indexed="81"/>
            <rFont val="Tahoma"/>
            <family val="2"/>
          </rPr>
          <t>Training The Street:</t>
        </r>
        <r>
          <rPr>
            <sz val="8"/>
            <color indexed="81"/>
            <rFont val="Tahoma"/>
            <family val="2"/>
          </rPr>
          <t xml:space="preserve">
Source:  McCormick 2012 10-K, Note 3, p. 42.</t>
        </r>
      </text>
    </comment>
    <comment ref="K14" authorId="0" shapeId="0">
      <text>
        <r>
          <rPr>
            <b/>
            <sz val="8"/>
            <color indexed="81"/>
            <rFont val="Tahoma"/>
            <family val="2"/>
          </rPr>
          <t>Training The Street:</t>
        </r>
        <r>
          <rPr>
            <sz val="8"/>
            <color indexed="81"/>
            <rFont val="Tahoma"/>
            <family val="2"/>
          </rPr>
          <t xml:space="preserve">
Source:  McCormick 2013 10-K, Note 4, p. 34.</t>
        </r>
      </text>
    </comment>
    <comment ref="I15" authorId="0" shapeId="0">
      <text>
        <r>
          <rPr>
            <b/>
            <sz val="8"/>
            <color indexed="81"/>
            <rFont val="Tahoma"/>
            <family val="2"/>
          </rPr>
          <t>Training The Street:</t>
        </r>
        <r>
          <rPr>
            <sz val="8"/>
            <color indexed="81"/>
            <rFont val="Tahoma"/>
            <family val="2"/>
          </rPr>
          <t xml:space="preserve">
Source: McCormick 2012 10-K, Note 3, p. 42.  Includes brand names and trademarks.
</t>
        </r>
      </text>
    </comment>
    <comment ref="K15" authorId="0" shapeId="0">
      <text>
        <r>
          <rPr>
            <b/>
            <sz val="8"/>
            <color indexed="81"/>
            <rFont val="Tahoma"/>
            <family val="2"/>
          </rPr>
          <t>Training The Street:</t>
        </r>
        <r>
          <rPr>
            <sz val="8"/>
            <color indexed="81"/>
            <rFont val="Tahoma"/>
            <family val="2"/>
          </rPr>
          <t xml:space="preserve">
Source: McCormick 2013 10-K, Note 4, p. 34.  Includes brand names and trademarks.
</t>
        </r>
      </text>
    </comment>
    <comment ref="I17" authorId="0" shapeId="0">
      <text>
        <r>
          <rPr>
            <b/>
            <sz val="8"/>
            <color indexed="81"/>
            <rFont val="Tahoma"/>
            <family val="2"/>
          </rPr>
          <t>Training The Street:</t>
        </r>
        <r>
          <rPr>
            <sz val="8"/>
            <color indexed="81"/>
            <rFont val="Tahoma"/>
            <family val="2"/>
          </rPr>
          <t xml:space="preserve">
Source:  McCormick 2012 10-K, Balance Sheet, p. 34 &amp;  Note 15, p. 60.  Includes long term investments, prepaid allowances and other assets.  Excludes investments in affiliates.</t>
        </r>
      </text>
    </comment>
    <comment ref="K17" authorId="0" shapeId="0">
      <text>
        <r>
          <rPr>
            <b/>
            <sz val="8"/>
            <color indexed="81"/>
            <rFont val="Tahoma"/>
            <family val="2"/>
          </rPr>
          <t>Training The Street:</t>
        </r>
        <r>
          <rPr>
            <sz val="8"/>
            <color indexed="81"/>
            <rFont val="Tahoma"/>
            <family val="2"/>
          </rPr>
          <t xml:space="preserve">
Source:  McCormick 2013 10-K, Note 16, p. 49.  
Includes long term investments, prepaid allowances and other assets.  Excludes investments in affiliates.</t>
        </r>
      </text>
    </comment>
    <comment ref="I18" authorId="0" shapeId="0">
      <text>
        <r>
          <rPr>
            <b/>
            <sz val="8"/>
            <color indexed="81"/>
            <rFont val="Tahoma"/>
            <family val="2"/>
          </rPr>
          <t>Training The Street:</t>
        </r>
        <r>
          <rPr>
            <sz val="8"/>
            <color indexed="81"/>
            <rFont val="Tahoma"/>
            <family val="2"/>
          </rPr>
          <t xml:space="preserve">
Source:  McCormick 2012 10-K, Note 15, p. 60.  Includes "investments in affiliates"</t>
        </r>
      </text>
    </comment>
    <comment ref="K18" authorId="0" shapeId="0">
      <text>
        <r>
          <rPr>
            <b/>
            <sz val="8"/>
            <color indexed="81"/>
            <rFont val="Tahoma"/>
            <family val="2"/>
          </rPr>
          <t>Training The Street:</t>
        </r>
        <r>
          <rPr>
            <sz val="8"/>
            <color indexed="81"/>
            <rFont val="Tahoma"/>
            <family val="2"/>
          </rPr>
          <t xml:space="preserve">
Source:  McCormick 2013 10-K, Note 16, p. 49.  Includes "investments in affiliates"</t>
        </r>
      </text>
    </comment>
    <comment ref="I22" authorId="0" shapeId="0">
      <text>
        <r>
          <rPr>
            <b/>
            <sz val="8"/>
            <color indexed="81"/>
            <rFont val="Tahoma"/>
            <family val="2"/>
          </rPr>
          <t>Training The Street:</t>
        </r>
        <r>
          <rPr>
            <sz val="8"/>
            <color indexed="81"/>
            <rFont val="Tahoma"/>
            <family val="2"/>
          </rPr>
          <t xml:space="preserve">
Source:  McCormick 2012 10-K, Balance Sheet, p. 34.  "Other accrued liabilites"
Note 15, p. 60.  Includes payroll &amp; employee benefits, sales allowances and other accrued liabilities. </t>
        </r>
      </text>
    </comment>
    <comment ref="K22" authorId="0" shapeId="0">
      <text>
        <r>
          <rPr>
            <b/>
            <sz val="8"/>
            <color indexed="81"/>
            <rFont val="Tahoma"/>
            <family val="2"/>
          </rPr>
          <t>Training The Street:</t>
        </r>
        <r>
          <rPr>
            <sz val="8"/>
            <color indexed="81"/>
            <rFont val="Tahoma"/>
            <family val="2"/>
          </rPr>
          <t xml:space="preserve">
Source:  McCormick 2013 Balance Sheet, p. 28.  "Other accrued liabilities"
Note 16, p. 49.  Includes payroll &amp; employee benefits, sales allowances and "other."  </t>
        </r>
      </text>
    </comment>
    <comment ref="I25" authorId="0" shapeId="0">
      <text>
        <r>
          <rPr>
            <b/>
            <sz val="8"/>
            <color indexed="81"/>
            <rFont val="Tahoma"/>
            <family val="2"/>
          </rPr>
          <t>Training The Street:</t>
        </r>
        <r>
          <rPr>
            <sz val="8"/>
            <color indexed="81"/>
            <rFont val="Tahoma"/>
            <family val="2"/>
          </rPr>
          <t xml:space="preserve">
Source:  McCormick 2012 10-K, Note 5, p. 43.  Includes commercial paper and other short term debt.</t>
        </r>
      </text>
    </comment>
    <comment ref="K25" authorId="0" shapeId="0">
      <text>
        <r>
          <rPr>
            <b/>
            <sz val="8"/>
            <color indexed="81"/>
            <rFont val="Tahoma"/>
            <family val="2"/>
          </rPr>
          <t>Training The Street:</t>
        </r>
        <r>
          <rPr>
            <sz val="8"/>
            <color indexed="81"/>
            <rFont val="Tahoma"/>
            <family val="2"/>
          </rPr>
          <t xml:space="preserve">
Source:  McCormick 2013 10-K, Note 6, p. 35.  Short term borrowings.</t>
        </r>
      </text>
    </comment>
    <comment ref="I26" authorId="0" shapeId="0">
      <text>
        <r>
          <rPr>
            <b/>
            <sz val="8"/>
            <color indexed="81"/>
            <rFont val="Tahoma"/>
            <family val="2"/>
          </rPr>
          <t>Training The Street:</t>
        </r>
        <r>
          <rPr>
            <sz val="8"/>
            <color indexed="81"/>
            <rFont val="Tahoma"/>
            <family val="2"/>
          </rPr>
          <t xml:space="preserve">
Source:  McCormick 2012 10-K, Note 5, p. 43.  Includes LT debt and the current portion of LT debt.</t>
        </r>
      </text>
    </comment>
    <comment ref="K26" authorId="0" shapeId="0">
      <text>
        <r>
          <rPr>
            <b/>
            <sz val="8"/>
            <color indexed="81"/>
            <rFont val="Tahoma"/>
            <family val="2"/>
          </rPr>
          <t>Training The Street:</t>
        </r>
        <r>
          <rPr>
            <sz val="8"/>
            <color indexed="81"/>
            <rFont val="Tahoma"/>
            <family val="2"/>
          </rPr>
          <t xml:space="preserve">
Source:  McCormick 2013 10-K, Note 6, p. 35.  Includes LT debt and the current portion of LT debt.</t>
        </r>
      </text>
    </comment>
    <comment ref="I27" authorId="0" shapeId="0">
      <text>
        <r>
          <rPr>
            <b/>
            <sz val="8"/>
            <color indexed="81"/>
            <rFont val="Tahoma"/>
            <family val="2"/>
          </rPr>
          <t>Training The Street:</t>
        </r>
        <r>
          <rPr>
            <sz val="8"/>
            <color indexed="81"/>
            <rFont val="Tahoma"/>
            <family val="2"/>
          </rPr>
          <t xml:space="preserve">
Source:  McCormick 2012 10-K, Balance Sheet, p. 34 &amp; Note 15, p. 60.  "Other long-term liabilities"
Includes pension, postretirement benefits, deferred taxes, income taxes payable and other.  
</t>
        </r>
      </text>
    </comment>
    <comment ref="K27" authorId="0" shapeId="0">
      <text>
        <r>
          <rPr>
            <b/>
            <sz val="8"/>
            <color indexed="81"/>
            <rFont val="Tahoma"/>
            <family val="2"/>
          </rPr>
          <t>Training The Street:</t>
        </r>
        <r>
          <rPr>
            <sz val="8"/>
            <color indexed="81"/>
            <rFont val="Tahoma"/>
            <family val="2"/>
          </rPr>
          <t xml:space="preserve">
Source:  McCormick 2013 10-K, Balance Sheet, p. 28 &amp; Note 16, p. 49.  "Other long-term liabilities"
Includes pension, postretirement benefits, deferred taxes, income taxes payable and other.</t>
        </r>
      </text>
    </comment>
  </commentList>
</comments>
</file>

<file path=xl/comments3.xml><?xml version="1.0" encoding="utf-8"?>
<comments xmlns="http://schemas.openxmlformats.org/spreadsheetml/2006/main">
  <authors>
    <author>Training the Street</author>
  </authors>
  <commentList>
    <comment ref="L27" authorId="0" shapeId="0">
      <text>
        <r>
          <rPr>
            <b/>
            <sz val="8"/>
            <color indexed="81"/>
            <rFont val="Tahoma"/>
            <family val="2"/>
          </rPr>
          <t>Training The Street:</t>
        </r>
        <r>
          <rPr>
            <sz val="8"/>
            <color indexed="81"/>
            <rFont val="Tahoma"/>
            <family val="2"/>
          </rPr>
          <t xml:space="preserve">
Source:  McCormick 2013 10-K, MD&amp;A, p. 19.</t>
        </r>
        <r>
          <rPr>
            <i/>
            <sz val="8"/>
            <color indexed="81"/>
            <rFont val="Tahoma"/>
            <family val="2"/>
          </rPr>
          <t xml:space="preserve">
"In the future we expect to continue to reduce CCC by decreasing
our days in inventory."
Based on equity research.</t>
        </r>
      </text>
    </comment>
    <comment ref="R27" authorId="0" shapeId="0">
      <text>
        <r>
          <rPr>
            <b/>
            <sz val="8"/>
            <color indexed="81"/>
            <rFont val="Tahoma"/>
            <family val="2"/>
          </rPr>
          <t>Training The Street:</t>
        </r>
        <r>
          <rPr>
            <sz val="8"/>
            <color indexed="81"/>
            <rFont val="Tahoma"/>
            <family val="2"/>
          </rPr>
          <t xml:space="preserve">
Source:  McCormick 2013 10-K, MD&amp;A, p. 19.</t>
        </r>
        <r>
          <rPr>
            <i/>
            <sz val="8"/>
            <color indexed="81"/>
            <rFont val="Tahoma"/>
            <family val="2"/>
          </rPr>
          <t xml:space="preserve">
"In the future we expect to continue to reduce CCC by decreasing
our days in inventory."</t>
        </r>
      </text>
    </comment>
  </commentList>
</comments>
</file>

<file path=xl/comments4.xml><?xml version="1.0" encoding="utf-8"?>
<comments xmlns="http://schemas.openxmlformats.org/spreadsheetml/2006/main">
  <authors>
    <author>Training the Street</author>
  </authors>
  <commentList>
    <comment ref="K8" authorId="0" shapeId="0">
      <text>
        <r>
          <rPr>
            <b/>
            <sz val="8"/>
            <color indexed="81"/>
            <rFont val="Tahoma"/>
            <family val="2"/>
          </rPr>
          <t>Training The Street:</t>
        </r>
        <r>
          <rPr>
            <sz val="8"/>
            <color indexed="81"/>
            <rFont val="Tahoma"/>
            <family val="2"/>
          </rPr>
          <t xml:space="preserve">
Source:  McCormick 2013 10-K, Statement of Cash Flows, p. 29.  </t>
        </r>
      </text>
    </comment>
    <comment ref="L8" authorId="0" shapeId="0">
      <text>
        <r>
          <rPr>
            <b/>
            <sz val="8"/>
            <color indexed="81"/>
            <rFont val="Tahoma"/>
            <family val="2"/>
          </rPr>
          <t>Training The Street:</t>
        </r>
        <r>
          <rPr>
            <sz val="8"/>
            <color indexed="81"/>
            <rFont val="Tahoma"/>
            <family val="2"/>
          </rPr>
          <t xml:space="preserve">
Source:  McCormick Q4 2013 Conference Call Transcript, p. 7.
"</t>
        </r>
        <r>
          <rPr>
            <i/>
            <sz val="8"/>
            <color indexed="81"/>
            <rFont val="Tahoma"/>
            <family val="2"/>
          </rPr>
          <t xml:space="preserve">..plan to use $120 million to $130 million on capital expenditures."
</t>
        </r>
        <r>
          <rPr>
            <sz val="8"/>
            <color indexed="81"/>
            <rFont val="Tahoma"/>
            <family val="2"/>
          </rPr>
          <t xml:space="preserve">
Source:  McCormick 2013 10-K, p. 19:
</t>
        </r>
        <r>
          <rPr>
            <i/>
            <sz val="8"/>
            <color indexed="81"/>
            <rFont val="Tahoma"/>
            <family val="2"/>
          </rPr>
          <t xml:space="preserve">"We expect 2014 capital expenditures to range between $120 million and $130 million."
</t>
        </r>
      </text>
    </comment>
    <comment ref="M9" authorId="0" shapeId="0">
      <text>
        <r>
          <rPr>
            <b/>
            <sz val="8"/>
            <color indexed="81"/>
            <rFont val="Tahoma"/>
            <family val="2"/>
          </rPr>
          <t>Training The Street:</t>
        </r>
        <r>
          <rPr>
            <sz val="8"/>
            <color indexed="81"/>
            <rFont val="Tahoma"/>
            <family val="2"/>
          </rPr>
          <t xml:space="preserve">
Estimate based on equity research.</t>
        </r>
      </text>
    </comment>
    <comment ref="L11" authorId="0" shapeId="0">
      <text>
        <r>
          <rPr>
            <b/>
            <sz val="8"/>
            <color indexed="81"/>
            <rFont val="Tahoma"/>
            <family val="2"/>
          </rPr>
          <t>Training The Street:</t>
        </r>
        <r>
          <rPr>
            <sz val="8"/>
            <color indexed="81"/>
            <rFont val="Tahoma"/>
            <family val="2"/>
          </rPr>
          <t xml:space="preserve">
Estimate based on equity research.</t>
        </r>
      </text>
    </comment>
    <comment ref="M12" authorId="0" shapeId="0">
      <text>
        <r>
          <rPr>
            <b/>
            <sz val="8"/>
            <color indexed="81"/>
            <rFont val="Tahoma"/>
            <family val="2"/>
          </rPr>
          <t>Training The Street:</t>
        </r>
        <r>
          <rPr>
            <sz val="8"/>
            <color indexed="81"/>
            <rFont val="Tahoma"/>
            <family val="2"/>
          </rPr>
          <t xml:space="preserve">
Estimate based on equity research.</t>
        </r>
      </text>
    </comment>
  </commentList>
</comments>
</file>

<file path=xl/comments5.xml><?xml version="1.0" encoding="utf-8"?>
<comments xmlns="http://schemas.openxmlformats.org/spreadsheetml/2006/main">
  <authors>
    <author>Training the Street</author>
  </authors>
  <commentList>
    <comment ref="I8" authorId="0" shapeId="0">
      <text>
        <r>
          <rPr>
            <b/>
            <sz val="8"/>
            <color indexed="81"/>
            <rFont val="Tahoma"/>
            <family val="2"/>
          </rPr>
          <t>Training The Street:</t>
        </r>
        <r>
          <rPr>
            <sz val="8"/>
            <color indexed="81"/>
            <rFont val="Tahoma"/>
            <family val="2"/>
          </rPr>
          <t xml:space="preserve">
Source:  McCormick 2011 10-K, Note 3, p. 41.
Difference between gross carrying amounts of amortizable intangibles.</t>
        </r>
      </text>
    </comment>
    <comment ref="J8" authorId="0" shapeId="0">
      <text>
        <r>
          <rPr>
            <b/>
            <sz val="8"/>
            <color indexed="81"/>
            <rFont val="Tahoma"/>
            <family val="2"/>
          </rPr>
          <t>Training The Street:</t>
        </r>
        <r>
          <rPr>
            <sz val="8"/>
            <color indexed="81"/>
            <rFont val="Tahoma"/>
            <family val="2"/>
          </rPr>
          <t xml:space="preserve">
Source:  McCormick 2012 10-K, Note 3, p. 42.
Difference between gross carrying amounts of amortizable intangibles.</t>
        </r>
      </text>
    </comment>
    <comment ref="K8" authorId="0" shapeId="0">
      <text>
        <r>
          <rPr>
            <b/>
            <sz val="8"/>
            <color indexed="81"/>
            <rFont val="Tahoma"/>
            <family val="2"/>
          </rPr>
          <t>Training The Street:</t>
        </r>
        <r>
          <rPr>
            <sz val="8"/>
            <color indexed="81"/>
            <rFont val="Tahoma"/>
            <family val="2"/>
          </rPr>
          <t xml:space="preserve">
Source:  McCormick 2013 10-K, Note 4, p. 35.
Difference between gross carrying amounts of amortizable intangibles.</t>
        </r>
      </text>
    </comment>
    <comment ref="L8" authorId="0" shapeId="0">
      <text>
        <r>
          <rPr>
            <b/>
            <sz val="8"/>
            <color indexed="81"/>
            <rFont val="Tahoma"/>
            <family val="2"/>
          </rPr>
          <t>Training The Street:</t>
        </r>
        <r>
          <rPr>
            <sz val="8"/>
            <color indexed="81"/>
            <rFont val="Tahoma"/>
            <family val="2"/>
          </rPr>
          <t xml:space="preserve">
TTS estimate, reflects future acquisitions</t>
        </r>
      </text>
    </comment>
  </commentList>
</comments>
</file>

<file path=xl/comments6.xml><?xml version="1.0" encoding="utf-8"?>
<comments xmlns="http://schemas.openxmlformats.org/spreadsheetml/2006/main">
  <authors>
    <author>Training The Street</author>
    <author>Training the Street</author>
  </authors>
  <commentList>
    <comment ref="L23" authorId="0" shapeId="0">
      <text>
        <r>
          <rPr>
            <b/>
            <sz val="8"/>
            <color indexed="81"/>
            <rFont val="Tahoma"/>
            <family val="2"/>
          </rPr>
          <t>Training The Street:</t>
        </r>
        <r>
          <rPr>
            <sz val="8"/>
            <color indexed="81"/>
            <rFont val="Tahoma"/>
            <family val="2"/>
          </rPr>
          <t xml:space="preserve">
Source:  McCormick 4Q 2013 Conference Call Transcript, p. 7. 
</t>
        </r>
        <r>
          <rPr>
            <i/>
            <sz val="8"/>
            <color indexed="81"/>
            <rFont val="Tahoma"/>
            <family val="2"/>
          </rPr>
          <t>"Income from unconsolidated operations ended the year close to our initial outlook for a 10% increase."
"We anticipate a strong performance from our unconsolidated operations, particularly our joint venture in Mexico, with an increase of at least 15% in 2014 income from unconsolidated operations."
TTS assumption - 15% growth rate from $23.2mm in 2013.</t>
        </r>
      </text>
    </comment>
    <comment ref="R23" authorId="1" shapeId="0">
      <text>
        <r>
          <rPr>
            <b/>
            <sz val="8"/>
            <color indexed="81"/>
            <rFont val="Tahoma"/>
            <family val="2"/>
          </rPr>
          <t xml:space="preserve">Training The Street:
</t>
        </r>
        <r>
          <rPr>
            <sz val="8"/>
            <color indexed="81"/>
            <rFont val="Tahoma"/>
            <family val="2"/>
          </rPr>
          <t>TTS estimate</t>
        </r>
      </text>
    </comment>
    <comment ref="L27" authorId="1" shapeId="0">
      <text>
        <r>
          <rPr>
            <b/>
            <sz val="8"/>
            <color indexed="81"/>
            <rFont val="Tahoma"/>
            <family val="2"/>
          </rPr>
          <t>Training The Street:</t>
        </r>
        <r>
          <rPr>
            <sz val="8"/>
            <color indexed="81"/>
            <rFont val="Tahoma"/>
            <family val="2"/>
          </rPr>
          <t xml:space="preserve">
Based on historical payout ratio of ~65%. Payout for the 9months ended August 31, 2014 ~63%.</t>
        </r>
      </text>
    </comment>
  </commentList>
</comments>
</file>

<file path=xl/comments7.xml><?xml version="1.0" encoding="utf-8"?>
<comments xmlns="http://schemas.openxmlformats.org/spreadsheetml/2006/main">
  <authors>
    <author>Training the Street</author>
  </authors>
  <commentList>
    <comment ref="L9" authorId="0" shapeId="0">
      <text>
        <r>
          <rPr>
            <b/>
            <sz val="8"/>
            <color indexed="81"/>
            <rFont val="Tahoma"/>
            <family val="2"/>
          </rPr>
          <t>Training The Street:</t>
        </r>
        <r>
          <rPr>
            <sz val="8"/>
            <color indexed="81"/>
            <rFont val="Tahoma"/>
            <family val="2"/>
          </rPr>
          <t xml:space="preserve">
Based on 2013 expense. 
Source:  McCormick 2013 10-K Statement of Cash Flows, p. 29.  </t>
        </r>
      </text>
    </comment>
    <comment ref="L17" authorId="0" shapeId="0">
      <text>
        <r>
          <rPr>
            <b/>
            <sz val="8"/>
            <color indexed="81"/>
            <rFont val="Tahoma"/>
            <family val="2"/>
          </rPr>
          <t>Training The Street:</t>
        </r>
        <r>
          <rPr>
            <sz val="8"/>
            <color indexed="81"/>
            <rFont val="Tahoma"/>
            <family val="2"/>
          </rPr>
          <t xml:space="preserve">
Estimate based on equity research.</t>
        </r>
      </text>
    </comment>
    <comment ref="K19" authorId="0" shapeId="0">
      <text>
        <r>
          <rPr>
            <b/>
            <sz val="8"/>
            <color indexed="81"/>
            <rFont val="Tahoma"/>
            <family val="2"/>
          </rPr>
          <t>Training The Street:</t>
        </r>
        <r>
          <rPr>
            <sz val="8"/>
            <color indexed="81"/>
            <rFont val="Tahoma"/>
            <family val="2"/>
          </rPr>
          <t xml:space="preserve">
Source:  McCormick 2013 10-K, MD&amp;A, p. 19.  Note, does not match SSE which includes shares repurchased and retired.</t>
        </r>
      </text>
    </comment>
    <comment ref="L19" authorId="0" shapeId="0">
      <text>
        <r>
          <rPr>
            <b/>
            <sz val="8"/>
            <color indexed="81"/>
            <rFont val="Tahoma"/>
            <family val="2"/>
          </rPr>
          <t>Training The Street:</t>
        </r>
        <r>
          <rPr>
            <sz val="8"/>
            <color indexed="81"/>
            <rFont val="Tahoma"/>
            <family val="2"/>
          </rPr>
          <t xml:space="preserve">
McCormick 4Q 2013 Conference Call Transcript, p. 7.
</t>
        </r>
        <r>
          <rPr>
            <i/>
            <sz val="8"/>
            <color indexed="81"/>
            <rFont val="Tahoma"/>
            <family val="2"/>
          </rPr>
          <t xml:space="preserve">
"...we plan to use a significant portion of cash for share repurchases, reducing shares outstanding by 1% to 2% in 2014."
=0.01 x 130.701mm diluted shares = 1.307mm shares repurchased + 1.500mm repurchased to offset dilution from options = 2.807mm ~ 2.500mm shares (also closer to last three years average)
McCormick 2013 10-K, p. 19:
</t>
        </r>
        <r>
          <rPr>
            <sz val="8"/>
            <color indexed="81"/>
            <rFont val="Tahoma"/>
            <family val="2"/>
          </rPr>
          <t>"As of November 30, 2013, $360 million remained of a $400 million share repurchase program that was authorized by our Board of Directors in April 2013. During the fourth quarter of 2013, we completed a previous $400 million share repurchase program that had been authorized in June 2010."</t>
        </r>
      </text>
    </comment>
    <comment ref="K20" authorId="0" shapeId="0">
      <text>
        <r>
          <rPr>
            <b/>
            <sz val="8"/>
            <color indexed="81"/>
            <rFont val="Tahoma"/>
            <family val="2"/>
          </rPr>
          <t>Training The Street:</t>
        </r>
        <r>
          <rPr>
            <sz val="8"/>
            <color indexed="81"/>
            <rFont val="Tahoma"/>
            <family val="2"/>
          </rPr>
          <t xml:space="preserve">
Source:  McCormick 2013 10-K, MD&amp;A, p. 19.
Does not match SSE which includes shares repurchased and retired.  Matches CFS.</t>
        </r>
      </text>
    </comment>
    <comment ref="K23" authorId="0" shapeId="0">
      <text>
        <r>
          <rPr>
            <b/>
            <sz val="8"/>
            <color indexed="81"/>
            <rFont val="Tahoma"/>
            <family val="2"/>
          </rPr>
          <t>Training The Street:</t>
        </r>
        <r>
          <rPr>
            <sz val="8"/>
            <color indexed="81"/>
            <rFont val="Tahoma"/>
            <family val="2"/>
          </rPr>
          <t xml:space="preserve">
Source:  McCormick 2013 10K, Statement of Shareholders' Equity, p. 30. </t>
        </r>
      </text>
    </comment>
    <comment ref="L24" authorId="0" shapeId="0">
      <text>
        <r>
          <rPr>
            <b/>
            <sz val="8"/>
            <color indexed="81"/>
            <rFont val="Tahoma"/>
            <family val="2"/>
          </rPr>
          <t>Training The Street:</t>
        </r>
        <r>
          <rPr>
            <sz val="8"/>
            <color indexed="81"/>
            <rFont val="Tahoma"/>
            <family val="2"/>
          </rPr>
          <t xml:space="preserve">
Source:  McCormick 2013 10-K, Note 10, p. 45.  
"Weighted average exercise price of options outstanding."</t>
        </r>
      </text>
    </comment>
    <comment ref="K25" authorId="0" shapeId="0">
      <text>
        <r>
          <rPr>
            <b/>
            <sz val="8"/>
            <color indexed="81"/>
            <rFont val="Tahoma"/>
            <family val="2"/>
          </rPr>
          <t>Training The Street:</t>
        </r>
        <r>
          <rPr>
            <sz val="8"/>
            <color indexed="81"/>
            <rFont val="Tahoma"/>
            <family val="2"/>
          </rPr>
          <t xml:space="preserve">
Source: McCormick 2013 10-K, Statement of Cash Flows, p. 29.  
Note, does not match SSE.</t>
        </r>
      </text>
    </comment>
    <comment ref="K28" authorId="0" shapeId="0">
      <text>
        <r>
          <rPr>
            <b/>
            <sz val="8"/>
            <color indexed="81"/>
            <rFont val="Tahoma"/>
            <family val="2"/>
          </rPr>
          <t>Training The Street:</t>
        </r>
        <r>
          <rPr>
            <sz val="8"/>
            <color indexed="81"/>
            <rFont val="Tahoma"/>
            <family val="2"/>
          </rPr>
          <t xml:space="preserve">
Source:  McCormick 2013 10-K, Statement of Shareholders' Equity, p. 30. 
Note, does not match CFS.</t>
        </r>
      </text>
    </comment>
    <comment ref="L30" authorId="0" shapeId="0">
      <text>
        <r>
          <rPr>
            <b/>
            <sz val="8"/>
            <color indexed="81"/>
            <rFont val="Tahoma"/>
            <family val="2"/>
          </rPr>
          <t xml:space="preserve">Training The Street:
</t>
        </r>
        <r>
          <rPr>
            <sz val="8"/>
            <color indexed="81"/>
            <rFont val="Tahoma"/>
            <family val="2"/>
          </rPr>
          <t xml:space="preserve">Source:  McCormick Investor Presentation as of Sep 3, 2014, p.65.
</t>
        </r>
        <r>
          <rPr>
            <i/>
            <sz val="8"/>
            <color indexed="81"/>
            <rFont val="Tahoma"/>
            <family val="2"/>
          </rPr>
          <t xml:space="preserve">
Starting at 45% and bringing it down to 40% payout ratio by year 5 to match Long Term payout ratio of 40%.</t>
        </r>
      </text>
    </comment>
  </commentList>
</comments>
</file>

<file path=xl/comments8.xml><?xml version="1.0" encoding="utf-8"?>
<comments xmlns="http://schemas.openxmlformats.org/spreadsheetml/2006/main">
  <authors>
    <author>Training the Street</author>
  </authors>
  <commentList>
    <comment ref="L9" authorId="0" shapeId="0">
      <text>
        <r>
          <rPr>
            <b/>
            <sz val="8"/>
            <color indexed="81"/>
            <rFont val="Tahoma"/>
            <family val="2"/>
          </rPr>
          <t>Training The Street:</t>
        </r>
        <r>
          <rPr>
            <sz val="8"/>
            <color indexed="81"/>
            <rFont val="Tahoma"/>
            <family val="2"/>
          </rPr>
          <t xml:space="preserve">
Average of prior 3 years.</t>
        </r>
      </text>
    </comment>
    <comment ref="K11" authorId="0" shapeId="0">
      <text>
        <r>
          <rPr>
            <b/>
            <sz val="8"/>
            <color indexed="81"/>
            <rFont val="Tahoma"/>
            <family val="2"/>
          </rPr>
          <t>Training The Street:</t>
        </r>
        <r>
          <rPr>
            <sz val="8"/>
            <color indexed="81"/>
            <rFont val="Tahoma"/>
            <family val="2"/>
          </rPr>
          <t xml:space="preserve">
Source:  McCormick 2013 10-K, Statement of Shareholders' Equity, p. 30. </t>
        </r>
      </text>
    </comment>
    <comment ref="K13" authorId="0" shapeId="0">
      <text>
        <r>
          <rPr>
            <b/>
            <sz val="8"/>
            <color indexed="81"/>
            <rFont val="Tahoma"/>
            <family val="2"/>
          </rPr>
          <t>Training The Street:</t>
        </r>
        <r>
          <rPr>
            <sz val="8"/>
            <color indexed="81"/>
            <rFont val="Tahoma"/>
            <family val="2"/>
          </rPr>
          <t xml:space="preserve">
Source:  McCormick 2013 10-K, Note 12, p. 47.</t>
        </r>
      </text>
    </comment>
    <comment ref="L14" authorId="0" shapeId="0">
      <text>
        <r>
          <rPr>
            <b/>
            <sz val="8"/>
            <color indexed="81"/>
            <rFont val="Tahoma"/>
            <family val="2"/>
          </rPr>
          <t>Training The Street:</t>
        </r>
        <r>
          <rPr>
            <sz val="8"/>
            <color indexed="81"/>
            <rFont val="Tahoma"/>
            <family val="2"/>
          </rPr>
          <t xml:space="preserve">
Average of prior 3 years</t>
        </r>
      </text>
    </comment>
  </commentList>
</comments>
</file>

<file path=xl/comments9.xml><?xml version="1.0" encoding="utf-8"?>
<comments xmlns="http://schemas.openxmlformats.org/spreadsheetml/2006/main">
  <authors>
    <author>Training the Street</author>
  </authors>
  <commentList>
    <comment ref="L26" authorId="0" shapeId="0">
      <text>
        <r>
          <rPr>
            <b/>
            <sz val="8"/>
            <color indexed="81"/>
            <rFont val="Tahoma"/>
            <family val="2"/>
          </rPr>
          <t>Training The Street:</t>
        </r>
        <r>
          <rPr>
            <sz val="8"/>
            <color indexed="81"/>
            <rFont val="Tahoma"/>
            <family val="2"/>
          </rPr>
          <t xml:space="preserve">
Source:  McCormick 2013 10-K, Note 6, p. 35.  Current portion of LT debt.</t>
        </r>
      </text>
    </comment>
    <comment ref="M26" authorId="0" shapeId="0">
      <text>
        <r>
          <rPr>
            <b/>
            <sz val="8"/>
            <color indexed="81"/>
            <rFont val="Tahoma"/>
            <family val="2"/>
          </rPr>
          <t>Training The Street:</t>
        </r>
        <r>
          <rPr>
            <sz val="8"/>
            <color indexed="81"/>
            <rFont val="Tahoma"/>
            <family val="2"/>
          </rPr>
          <t xml:space="preserve">
Source:  McCormick 2013 10-K, Note 5, p. 36.</t>
        </r>
      </text>
    </comment>
    <comment ref="L32" authorId="0" shapeId="0">
      <text>
        <r>
          <rPr>
            <b/>
            <sz val="8"/>
            <color indexed="81"/>
            <rFont val="Tahoma"/>
            <family val="2"/>
          </rPr>
          <t xml:space="preserve">Training The Street:
</t>
        </r>
        <r>
          <rPr>
            <sz val="8"/>
            <color indexed="81"/>
            <rFont val="Tahoma"/>
            <family val="2"/>
          </rPr>
          <t>Source:  McCormick 2013 10-K, Note 6, p. 36.
L+87.5bps on revolver.
Typically speak with debt capital markets or syndications professionals.  Also check Bloomberg for current rates on the company's publicly-traded debt.</t>
        </r>
      </text>
    </comment>
    <comment ref="U35" authorId="0" shapeId="0">
      <text>
        <r>
          <rPr>
            <b/>
            <sz val="8"/>
            <color indexed="81"/>
            <rFont val="Tahoma"/>
            <family val="2"/>
          </rPr>
          <t>Training the Street:</t>
        </r>
        <r>
          <rPr>
            <sz val="8"/>
            <color indexed="81"/>
            <rFont val="Tahoma"/>
            <family val="2"/>
          </rPr>
          <t xml:space="preserve">
Source:  McCormick 2013 10-K, Note 5, p. 35. 
</t>
        </r>
        <r>
          <rPr>
            <i/>
            <sz val="8"/>
            <color indexed="81"/>
            <rFont val="Tahoma"/>
            <family val="2"/>
          </rPr>
          <t>"The fixed interest rate on $100 million of the 5.20% notes due in 2015 is effectively converted to a variable rate by interest rate swaps through 2015. Net interest payments are based on 3 month LIBOR minus 0.05% during this period (our effective rate as of November 30, 2013 was 0.21%)"</t>
        </r>
      </text>
    </comment>
    <comment ref="U36" authorId="0" shapeId="0">
      <text>
        <r>
          <rPr>
            <b/>
            <sz val="8"/>
            <color indexed="81"/>
            <rFont val="Tahoma"/>
            <family val="2"/>
          </rPr>
          <t>Training the Street:</t>
        </r>
        <r>
          <rPr>
            <sz val="8"/>
            <color indexed="81"/>
            <rFont val="Tahoma"/>
            <family val="2"/>
          </rPr>
          <t xml:space="preserve">
Source:  McCormick 2010 10-K, Note 5, p. 35. 
</t>
        </r>
        <r>
          <rPr>
            <i/>
            <sz val="8"/>
            <color indexed="81"/>
            <rFont val="Tahoma"/>
            <family val="2"/>
          </rPr>
          <t>"Interest rate swaps, settled upon the issuance of these notes in 2007, effectively fixed the interest rate on the $250 million notes at a weighted-average fixed rate
of 6.25%."</t>
        </r>
      </text>
    </comment>
    <comment ref="L37" authorId="0" shapeId="0">
      <text>
        <r>
          <rPr>
            <b/>
            <sz val="8"/>
            <color indexed="81"/>
            <rFont val="Tahoma"/>
            <family val="2"/>
          </rPr>
          <t>Training The Street:</t>
        </r>
        <r>
          <rPr>
            <sz val="8"/>
            <color indexed="81"/>
            <rFont val="Tahoma"/>
            <family val="2"/>
          </rPr>
          <t xml:space="preserve">
Source:  McCormick 2013 10-K, Note 6, p. 35.
Weighted average of all long term debt tranches (see table on right).
Typically speak with debt capital markets or syndications professionals.  Also check Bloomberg for current rates on the company's publicly-traded debt.</t>
        </r>
      </text>
    </comment>
    <comment ref="U37" authorId="0" shapeId="0">
      <text>
        <r>
          <rPr>
            <b/>
            <sz val="8"/>
            <color indexed="81"/>
            <rFont val="Tahoma"/>
            <family val="2"/>
          </rPr>
          <t>Training the Street:</t>
        </r>
        <r>
          <rPr>
            <sz val="8"/>
            <color indexed="81"/>
            <rFont val="Tahoma"/>
            <family val="2"/>
          </rPr>
          <t xml:space="preserve">
Source: McCormick 2013 10-K, Note 5, p. 35. 
</t>
        </r>
        <r>
          <rPr>
            <i/>
            <sz val="8"/>
            <color indexed="81"/>
            <rFont val="Tahoma"/>
            <family val="2"/>
          </rPr>
          <t>"Interest rate swaps, settled upon the issuance of these notes in 2011, effectively fixed the interest rate on the $250 million notes at a weighted-average fixed rate of 4.01%."</t>
        </r>
      </text>
    </comment>
    <comment ref="U38" authorId="0" shapeId="0">
      <text>
        <r>
          <rPr>
            <b/>
            <sz val="8"/>
            <color indexed="81"/>
            <rFont val="Tahoma"/>
            <family val="2"/>
          </rPr>
          <t>Training the Street:</t>
        </r>
        <r>
          <rPr>
            <sz val="8"/>
            <color indexed="81"/>
            <rFont val="Tahoma"/>
            <family val="2"/>
          </rPr>
          <t xml:space="preserve">
Source: McCormick 2013 10-K, Note 5, p. 35. 
</t>
        </r>
        <r>
          <rPr>
            <i/>
            <sz val="8"/>
            <color indexed="81"/>
            <rFont val="Tahoma"/>
            <family val="2"/>
          </rPr>
          <t>"Interest rate swaps, settled upon the issuance of these notes in 2013, effectively fixed the interest rate on the $250 million notes at a weighted-average fixed rate of 3.30%."</t>
        </r>
      </text>
    </comment>
    <comment ref="L43" authorId="0" shapeId="0">
      <text>
        <r>
          <rPr>
            <b/>
            <sz val="8"/>
            <color indexed="81"/>
            <rFont val="Tahoma"/>
            <family val="2"/>
          </rPr>
          <t>Training The Street:</t>
        </r>
        <r>
          <rPr>
            <sz val="8"/>
            <color indexed="81"/>
            <rFont val="Tahoma"/>
            <family val="2"/>
          </rPr>
          <t xml:space="preserve">
Estimate based on current market conditions as of October 2014.</t>
        </r>
      </text>
    </comment>
  </commentList>
</comments>
</file>

<file path=xl/comments10.xml><?xml version="1.0" encoding="utf-8"?>
<comments xmlns="http://schemas.openxmlformats.org/spreadsheetml/2006/main">
  <authors>
    <author>Training the Street</author>
    <author>Training The Street</author>
    <author>Training The Street, Inc.</author>
  </authors>
  <commentList>
    <comment ref="E13" authorId="0" shapeId="0">
      <text>
        <r>
          <rPr>
            <b/>
            <sz val="8"/>
            <color indexed="81"/>
            <rFont val="Tahoma"/>
            <family val="2"/>
          </rPr>
          <t>Training The Street:</t>
        </r>
        <r>
          <rPr>
            <sz val="8"/>
            <color indexed="81"/>
            <rFont val="Tahoma"/>
            <family val="2"/>
          </rPr>
          <t xml:space="preserve">
Source:  McCormick 2013 10-K, Note 11, p. 46.
Includes federal, state and international.</t>
        </r>
      </text>
    </comment>
    <comment ref="J30" authorId="1" shapeId="0">
      <text>
        <r>
          <rPr>
            <b/>
            <sz val="8"/>
            <color indexed="81"/>
            <rFont val="Tahoma"/>
            <family val="2"/>
          </rPr>
          <t>Training The Street:</t>
        </r>
        <r>
          <rPr>
            <sz val="8"/>
            <color indexed="81"/>
            <rFont val="Tahoma"/>
            <family val="2"/>
          </rPr>
          <t xml:space="preserve">
Use the NPV formula
=NPV(J29,$L$23:$P$23)</t>
        </r>
      </text>
    </comment>
    <comment ref="P32" authorId="0" shapeId="0">
      <text>
        <r>
          <rPr>
            <b/>
            <sz val="8"/>
            <color indexed="81"/>
            <rFont val="Tahoma"/>
            <family val="2"/>
          </rPr>
          <t>Training The Street:</t>
        </r>
        <r>
          <rPr>
            <sz val="8"/>
            <color indexed="81"/>
            <rFont val="Tahoma"/>
            <family val="2"/>
          </rPr>
          <t xml:space="preserve">
Based on median of packaged foods comparables group as of October 2014</t>
        </r>
      </text>
    </comment>
    <comment ref="J33" authorId="2" shapeId="0">
      <text>
        <r>
          <rPr>
            <b/>
            <sz val="8"/>
            <color indexed="81"/>
            <rFont val="Tahoma"/>
            <family val="2"/>
          </rPr>
          <t>Training The Street:</t>
        </r>
        <r>
          <rPr>
            <sz val="8"/>
            <color indexed="81"/>
            <rFont val="Tahoma"/>
            <family val="2"/>
          </rPr>
          <t xml:space="preserve">
Terminal value = [FCFn x (1+g)] ÷ (r - g)
=(P23*(1+J32))/(J29-J32)</t>
        </r>
      </text>
    </comment>
    <comment ref="P33" authorId="2" shapeId="0">
      <text>
        <r>
          <rPr>
            <b/>
            <sz val="8"/>
            <color indexed="81"/>
            <rFont val="Tahoma"/>
            <family val="2"/>
          </rPr>
          <t>Training The Street:</t>
        </r>
        <r>
          <rPr>
            <sz val="8"/>
            <color indexed="81"/>
            <rFont val="Tahoma"/>
            <family val="2"/>
          </rPr>
          <t xml:space="preserve">
Terminal value = EBITDA x Multiple
=P32*P9</t>
        </r>
      </text>
    </comment>
    <comment ref="J34" authorId="2" shapeId="0">
      <text>
        <r>
          <rPr>
            <b/>
            <sz val="8"/>
            <color indexed="81"/>
            <rFont val="Tahoma"/>
            <family val="2"/>
          </rPr>
          <t>Training The Street:</t>
        </r>
        <r>
          <rPr>
            <sz val="8"/>
            <color indexed="81"/>
            <rFont val="Tahoma"/>
            <family val="2"/>
          </rPr>
          <t xml:space="preserve">
Use the PV formula
=PV(J29,$P$5-$K$5,0,-J33)</t>
        </r>
      </text>
    </comment>
    <comment ref="P34" authorId="2" shapeId="0">
      <text>
        <r>
          <rPr>
            <b/>
            <sz val="8"/>
            <color indexed="81"/>
            <rFont val="Tahoma"/>
            <family val="2"/>
          </rPr>
          <t>Training The Street:</t>
        </r>
        <r>
          <rPr>
            <sz val="8"/>
            <color indexed="81"/>
            <rFont val="Tahoma"/>
            <family val="2"/>
          </rPr>
          <t xml:space="preserve">
Use the PV formula
=PV(P29,$P$5-$K$5,0,-P33)</t>
        </r>
      </text>
    </comment>
    <comment ref="J36" authorId="2" shapeId="0">
      <text>
        <r>
          <rPr>
            <b/>
            <sz val="8"/>
            <color indexed="81"/>
            <rFont val="Tahoma"/>
            <family val="2"/>
          </rPr>
          <t>Training The Street:</t>
        </r>
        <r>
          <rPr>
            <sz val="8"/>
            <color indexed="81"/>
            <rFont val="Tahoma"/>
            <family val="2"/>
          </rPr>
          <t xml:space="preserve">
Enterprise value = 
NPV of FCF's + PV of terminal value
=J34+J30</t>
        </r>
      </text>
    </comment>
    <comment ref="P36" authorId="2" shapeId="0">
      <text>
        <r>
          <rPr>
            <b/>
            <sz val="8"/>
            <color indexed="81"/>
            <rFont val="Tahoma"/>
            <family val="2"/>
          </rPr>
          <t>Training The Street:</t>
        </r>
        <r>
          <rPr>
            <sz val="8"/>
            <color indexed="81"/>
            <rFont val="Tahoma"/>
            <family val="2"/>
          </rPr>
          <t xml:space="preserve">
Enterprise value = 
NPV of FCF's + PV of terminal value
=P34+P30</t>
        </r>
      </text>
    </comment>
    <comment ref="J37" authorId="0" shapeId="0">
      <text>
        <r>
          <rPr>
            <b/>
            <sz val="9"/>
            <color indexed="81"/>
            <rFont val="Tahoma"/>
            <family val="2"/>
          </rPr>
          <t>Training The Street:</t>
        </r>
        <r>
          <rPr>
            <sz val="9"/>
            <color indexed="81"/>
            <rFont val="Tahoma"/>
            <family val="2"/>
          </rPr>
          <t xml:space="preserve">
Source:  McCormick Q3 2014 10-Q
Net debt includes book value of total debt, noncontrolling interests and equity in investments less cash and equivalents.</t>
        </r>
      </text>
    </comment>
    <comment ref="P37" authorId="0" shapeId="0">
      <text>
        <r>
          <rPr>
            <b/>
            <sz val="8"/>
            <color indexed="81"/>
            <rFont val="Tahoma"/>
            <family val="2"/>
          </rPr>
          <t>Training The Street:</t>
        </r>
        <r>
          <rPr>
            <sz val="8"/>
            <color indexed="81"/>
            <rFont val="Tahoma"/>
            <family val="2"/>
          </rPr>
          <t xml:space="preserve">
Source:  McCormick Q3 2014 10-Q
Net debt includes book value of total debt, noncontrolling interests and equity in investments less cash and equivalents.</t>
        </r>
      </text>
    </comment>
    <comment ref="J38" authorId="1" shapeId="0">
      <text>
        <r>
          <rPr>
            <b/>
            <sz val="8"/>
            <color indexed="81"/>
            <rFont val="Tahoma"/>
            <family val="2"/>
          </rPr>
          <t>Training The Street:</t>
        </r>
        <r>
          <rPr>
            <sz val="8"/>
            <color indexed="81"/>
            <rFont val="Tahoma"/>
            <family val="2"/>
          </rPr>
          <t xml:space="preserve">
=SUM(J36:J38)</t>
        </r>
      </text>
    </comment>
    <comment ref="P38" authorId="1" shapeId="0">
      <text>
        <r>
          <rPr>
            <b/>
            <sz val="8"/>
            <color indexed="81"/>
            <rFont val="Tahoma"/>
            <family val="2"/>
          </rPr>
          <t>Training The Street:</t>
        </r>
        <r>
          <rPr>
            <sz val="8"/>
            <color indexed="81"/>
            <rFont val="Tahoma"/>
            <family val="2"/>
          </rPr>
          <t xml:space="preserve">
=SUM(P36:P37)</t>
        </r>
      </text>
    </comment>
    <comment ref="J40" authorId="0" shapeId="0">
      <text>
        <r>
          <rPr>
            <b/>
            <sz val="8"/>
            <color indexed="81"/>
            <rFont val="Tahoma"/>
            <family val="2"/>
          </rPr>
          <t>Training The Street:</t>
        </r>
        <r>
          <rPr>
            <sz val="8"/>
            <color indexed="81"/>
            <rFont val="Tahoma"/>
            <family val="2"/>
          </rPr>
          <t xml:space="preserve">
Diluted shares as of 10/17/14; includes voting and non-voting shares</t>
        </r>
      </text>
    </comment>
    <comment ref="P40" authorId="0" shapeId="0">
      <text>
        <r>
          <rPr>
            <b/>
            <sz val="8"/>
            <color indexed="81"/>
            <rFont val="Tahoma"/>
            <family val="2"/>
          </rPr>
          <t>Training The Street:</t>
        </r>
        <r>
          <rPr>
            <sz val="8"/>
            <color indexed="81"/>
            <rFont val="Tahoma"/>
            <family val="2"/>
          </rPr>
          <t xml:space="preserve">
Diluted shares as of 10/17/14; includes voting and non-voting shares</t>
        </r>
      </text>
    </comment>
    <comment ref="F63" authorId="1" shapeId="0">
      <text>
        <r>
          <rPr>
            <b/>
            <sz val="8"/>
            <color indexed="81"/>
            <rFont val="Tahoma"/>
            <family val="2"/>
          </rPr>
          <t>Training The Street:</t>
        </r>
        <r>
          <rPr>
            <sz val="8"/>
            <color indexed="81"/>
            <rFont val="Tahoma"/>
            <family val="2"/>
          </rPr>
          <t xml:space="preserve">
Simplification for training purposes</t>
        </r>
      </text>
    </comment>
    <comment ref="F64" authorId="1" shapeId="0">
      <text>
        <r>
          <rPr>
            <b/>
            <sz val="8"/>
            <color indexed="81"/>
            <rFont val="Tahoma"/>
            <family val="2"/>
          </rPr>
          <t>Training The Street:</t>
        </r>
        <r>
          <rPr>
            <sz val="8"/>
            <color indexed="81"/>
            <rFont val="Tahoma"/>
            <family val="2"/>
          </rPr>
          <t xml:space="preserve">
As of October 17, 2014.
The most recent balance sheet for net debt calculations as of 8/31/2014</t>
        </r>
      </text>
    </comment>
    <comment ref="G72" authorId="1" shapeId="0">
      <text>
        <r>
          <rPr>
            <b/>
            <sz val="8"/>
            <color indexed="81"/>
            <rFont val="Tahoma"/>
            <family val="2"/>
          </rPr>
          <t>Training The Street:</t>
        </r>
        <r>
          <rPr>
            <sz val="8"/>
            <color indexed="81"/>
            <rFont val="Tahoma"/>
            <family val="2"/>
          </rPr>
          <t xml:space="preserve">
Output cell = J42
Row Input cell = J29
Column Input cell = J32</t>
        </r>
      </text>
    </comment>
    <comment ref="G94" authorId="2" shapeId="0">
      <text>
        <r>
          <rPr>
            <b/>
            <sz val="8"/>
            <color indexed="81"/>
            <rFont val="Tahoma"/>
            <family val="2"/>
          </rPr>
          <t xml:space="preserve">Training The Street: </t>
        </r>
        <r>
          <rPr>
            <sz val="8"/>
            <color indexed="81"/>
            <rFont val="Tahoma"/>
            <family val="2"/>
          </rPr>
          <t>Output cell = P42
Row Input cell = P29
Column Input cell = P32</t>
        </r>
      </text>
    </comment>
  </commentList>
</comments>
</file>

<file path=xl/comments11.xml><?xml version="1.0" encoding="utf-8"?>
<comments xmlns="http://schemas.openxmlformats.org/spreadsheetml/2006/main">
  <authors>
    <author>Training the Street</author>
    <author>Training The Street</author>
    <author>Training The Street, Inc.</author>
  </authors>
  <commentList>
    <comment ref="E13" authorId="0" shapeId="0">
      <text>
        <r>
          <rPr>
            <b/>
            <sz val="8"/>
            <color indexed="81"/>
            <rFont val="Tahoma"/>
            <family val="2"/>
          </rPr>
          <t>Training The Street:</t>
        </r>
        <r>
          <rPr>
            <sz val="8"/>
            <color indexed="81"/>
            <rFont val="Tahoma"/>
            <family val="2"/>
          </rPr>
          <t xml:space="preserve">
Source:  McCormick 2013 10-K, Note 11, p. 46.
Includes federal, state and international.</t>
        </r>
      </text>
    </comment>
    <comment ref="J30" authorId="1" shapeId="0">
      <text>
        <r>
          <rPr>
            <b/>
            <sz val="8"/>
            <color indexed="81"/>
            <rFont val="Tahoma"/>
            <family val="2"/>
          </rPr>
          <t>Training The Street:</t>
        </r>
        <r>
          <rPr>
            <sz val="8"/>
            <color indexed="81"/>
            <rFont val="Tahoma"/>
            <family val="2"/>
          </rPr>
          <t xml:space="preserve">
Use the NPV formula
=NPV(J29,$L$23:$P$23)</t>
        </r>
      </text>
    </comment>
    <comment ref="P32" authorId="0" shapeId="0">
      <text>
        <r>
          <rPr>
            <b/>
            <sz val="8"/>
            <color indexed="81"/>
            <rFont val="Tahoma"/>
            <family val="2"/>
          </rPr>
          <t>Training The Street:</t>
        </r>
        <r>
          <rPr>
            <sz val="8"/>
            <color indexed="81"/>
            <rFont val="Tahoma"/>
            <family val="2"/>
          </rPr>
          <t xml:space="preserve">
Based on median of packaged foods comparables group as of October 2014</t>
        </r>
      </text>
    </comment>
    <comment ref="J33" authorId="2" shapeId="0">
      <text>
        <r>
          <rPr>
            <b/>
            <sz val="8"/>
            <color indexed="81"/>
            <rFont val="Tahoma"/>
            <family val="2"/>
          </rPr>
          <t>Training The Street:</t>
        </r>
        <r>
          <rPr>
            <sz val="8"/>
            <color indexed="81"/>
            <rFont val="Tahoma"/>
            <family val="2"/>
          </rPr>
          <t xml:space="preserve">
Terminal value = [FCFn x (1+g)] ÷ (r - g)
=(P23*(1+J32))/(J29-J32)</t>
        </r>
      </text>
    </comment>
    <comment ref="P33" authorId="2" shapeId="0">
      <text>
        <r>
          <rPr>
            <b/>
            <sz val="8"/>
            <color indexed="81"/>
            <rFont val="Tahoma"/>
            <family val="2"/>
          </rPr>
          <t>Training The Street:</t>
        </r>
        <r>
          <rPr>
            <sz val="8"/>
            <color indexed="81"/>
            <rFont val="Tahoma"/>
            <family val="2"/>
          </rPr>
          <t xml:space="preserve">
Terminal value = EBITDA x Multiple
=P32*P9</t>
        </r>
      </text>
    </comment>
    <comment ref="J34" authorId="2" shapeId="0">
      <text>
        <r>
          <rPr>
            <b/>
            <sz val="8"/>
            <color indexed="81"/>
            <rFont val="Tahoma"/>
            <family val="2"/>
          </rPr>
          <t>Training The Street:</t>
        </r>
        <r>
          <rPr>
            <sz val="8"/>
            <color indexed="81"/>
            <rFont val="Tahoma"/>
            <family val="2"/>
          </rPr>
          <t xml:space="preserve">
Use the PV formula
=PV(J29,$P$5-$K$5,0,-J33)</t>
        </r>
      </text>
    </comment>
    <comment ref="P34" authorId="2" shapeId="0">
      <text>
        <r>
          <rPr>
            <b/>
            <sz val="8"/>
            <color indexed="81"/>
            <rFont val="Tahoma"/>
            <family val="2"/>
          </rPr>
          <t>Training The Street:</t>
        </r>
        <r>
          <rPr>
            <sz val="8"/>
            <color indexed="81"/>
            <rFont val="Tahoma"/>
            <family val="2"/>
          </rPr>
          <t xml:space="preserve">
Use the PV formula
=PV(P29,$P$5-$K$5,0,-P33)</t>
        </r>
      </text>
    </comment>
    <comment ref="J36" authorId="2" shapeId="0">
      <text>
        <r>
          <rPr>
            <b/>
            <sz val="8"/>
            <color indexed="81"/>
            <rFont val="Tahoma"/>
            <family val="2"/>
          </rPr>
          <t>Training The Street:</t>
        </r>
        <r>
          <rPr>
            <sz val="8"/>
            <color indexed="81"/>
            <rFont val="Tahoma"/>
            <family val="2"/>
          </rPr>
          <t xml:space="preserve">
Enterprise value = 
NPV of FCF's + PV of terminal value
=J34+J30</t>
        </r>
      </text>
    </comment>
    <comment ref="P36" authorId="2" shapeId="0">
      <text>
        <r>
          <rPr>
            <b/>
            <sz val="8"/>
            <color indexed="81"/>
            <rFont val="Tahoma"/>
            <family val="2"/>
          </rPr>
          <t>Training The Street:</t>
        </r>
        <r>
          <rPr>
            <sz val="8"/>
            <color indexed="81"/>
            <rFont val="Tahoma"/>
            <family val="2"/>
          </rPr>
          <t xml:space="preserve">
Enterprise value = 
NPV of FCF's + PV of terminal value
=P34+P30</t>
        </r>
      </text>
    </comment>
    <comment ref="J37" authorId="0" shapeId="0">
      <text>
        <r>
          <rPr>
            <b/>
            <sz val="8"/>
            <color indexed="81"/>
            <rFont val="Tahoma"/>
            <family val="2"/>
          </rPr>
          <t>Training The Street:</t>
        </r>
        <r>
          <rPr>
            <sz val="8"/>
            <color indexed="81"/>
            <rFont val="Tahoma"/>
            <family val="2"/>
          </rPr>
          <t xml:space="preserve">
Source:  McCormick Q3 2014 10-Q
Net debt includes book value of total debt, noncontrolling interests and equity in investments less cash and equivalents.</t>
        </r>
      </text>
    </comment>
    <comment ref="P37" authorId="0" shapeId="0">
      <text>
        <r>
          <rPr>
            <b/>
            <sz val="8"/>
            <color indexed="81"/>
            <rFont val="Tahoma"/>
            <family val="2"/>
          </rPr>
          <t>Training The Street:</t>
        </r>
        <r>
          <rPr>
            <sz val="8"/>
            <color indexed="81"/>
            <rFont val="Tahoma"/>
            <family val="2"/>
          </rPr>
          <t xml:space="preserve">
Source:  McCormick Q3 2014 10-Q
Net debt includes book value of total debt, noncontrolling interests and equity in investments less cash and equivalents.</t>
        </r>
      </text>
    </comment>
    <comment ref="J38" authorId="1" shapeId="0">
      <text>
        <r>
          <rPr>
            <b/>
            <sz val="8"/>
            <color indexed="81"/>
            <rFont val="Tahoma"/>
            <family val="2"/>
          </rPr>
          <t>Training The Street:</t>
        </r>
        <r>
          <rPr>
            <sz val="8"/>
            <color indexed="81"/>
            <rFont val="Tahoma"/>
            <family val="2"/>
          </rPr>
          <t xml:space="preserve">
=SUM(J36:J38)</t>
        </r>
      </text>
    </comment>
    <comment ref="P38" authorId="1" shapeId="0">
      <text>
        <r>
          <rPr>
            <b/>
            <sz val="8"/>
            <color indexed="81"/>
            <rFont val="Tahoma"/>
            <family val="2"/>
          </rPr>
          <t>Training The Street:</t>
        </r>
        <r>
          <rPr>
            <sz val="8"/>
            <color indexed="81"/>
            <rFont val="Tahoma"/>
            <family val="2"/>
          </rPr>
          <t xml:space="preserve">
=SUM(P36:P37)</t>
        </r>
      </text>
    </comment>
    <comment ref="J40" authorId="0" shapeId="0">
      <text>
        <r>
          <rPr>
            <b/>
            <sz val="8"/>
            <color indexed="81"/>
            <rFont val="Tahoma"/>
            <family val="2"/>
          </rPr>
          <t>Training The Street:</t>
        </r>
        <r>
          <rPr>
            <sz val="8"/>
            <color indexed="81"/>
            <rFont val="Tahoma"/>
            <family val="2"/>
          </rPr>
          <t xml:space="preserve">
Diluted shares as of 10/17/14; includes voting and non-voting shares</t>
        </r>
      </text>
    </comment>
    <comment ref="P40" authorId="0" shapeId="0">
      <text>
        <r>
          <rPr>
            <b/>
            <sz val="8"/>
            <color indexed="81"/>
            <rFont val="Tahoma"/>
            <family val="2"/>
          </rPr>
          <t>Training The Street:</t>
        </r>
        <r>
          <rPr>
            <sz val="8"/>
            <color indexed="81"/>
            <rFont val="Tahoma"/>
            <family val="2"/>
          </rPr>
          <t xml:space="preserve">
Diluted shares as of 10/17/14; includes voting and non-voting shares</t>
        </r>
      </text>
    </comment>
    <comment ref="F63" authorId="1" shapeId="0">
      <text>
        <r>
          <rPr>
            <b/>
            <sz val="8"/>
            <color indexed="81"/>
            <rFont val="Tahoma"/>
            <family val="2"/>
          </rPr>
          <t>Training The Street:</t>
        </r>
        <r>
          <rPr>
            <sz val="8"/>
            <color indexed="81"/>
            <rFont val="Tahoma"/>
            <family val="2"/>
          </rPr>
          <t xml:space="preserve">
Simplification for training purposes</t>
        </r>
      </text>
    </comment>
    <comment ref="F64" authorId="1" shapeId="0">
      <text>
        <r>
          <rPr>
            <b/>
            <sz val="8"/>
            <color indexed="81"/>
            <rFont val="Tahoma"/>
            <family val="2"/>
          </rPr>
          <t>Training The Street:</t>
        </r>
        <r>
          <rPr>
            <sz val="8"/>
            <color indexed="81"/>
            <rFont val="Tahoma"/>
            <family val="2"/>
          </rPr>
          <t xml:space="preserve">
As of October 17, 2014.
The most recent balance sheet for net debt calculations as of 8/31/2014</t>
        </r>
      </text>
    </comment>
    <comment ref="G72" authorId="1" shapeId="0">
      <text>
        <r>
          <rPr>
            <b/>
            <sz val="8"/>
            <color indexed="81"/>
            <rFont val="Tahoma"/>
            <family val="2"/>
          </rPr>
          <t>Training The Street:</t>
        </r>
        <r>
          <rPr>
            <sz val="8"/>
            <color indexed="81"/>
            <rFont val="Tahoma"/>
            <family val="2"/>
          </rPr>
          <t xml:space="preserve">
Output cell = J42
Row Input cell = J29
Column Input cell = J32</t>
        </r>
      </text>
    </comment>
    <comment ref="G94" authorId="2" shapeId="0">
      <text>
        <r>
          <rPr>
            <b/>
            <sz val="8"/>
            <color indexed="81"/>
            <rFont val="Tahoma"/>
            <family val="2"/>
          </rPr>
          <t>Training The Street, Inc.:</t>
        </r>
        <r>
          <rPr>
            <sz val="8"/>
            <color indexed="81"/>
            <rFont val="Tahoma"/>
            <family val="2"/>
          </rPr>
          <t xml:space="preserve">
Output cell = P42
Row Input cell = P29
Column Input cell = P32</t>
        </r>
      </text>
    </comment>
  </commentList>
</comments>
</file>

<file path=xl/comments12.xml><?xml version="1.0" encoding="utf-8"?>
<comments xmlns="http://schemas.openxmlformats.org/spreadsheetml/2006/main">
  <authors>
    <author>Training The Street</author>
  </authors>
  <commentList>
    <comment ref="F33" authorId="0" shapeId="0">
      <text>
        <r>
          <rPr>
            <b/>
            <sz val="8"/>
            <color indexed="81"/>
            <rFont val="Tahoma"/>
            <family val="2"/>
          </rPr>
          <t>Training The Street:</t>
        </r>
        <r>
          <rPr>
            <sz val="8"/>
            <color indexed="81"/>
            <rFont val="Tahoma"/>
            <family val="2"/>
          </rPr>
          <t xml:space="preserve">
Do not delete
=IF(AND(ROUND(I32,3)=ROUND(K32,3),F32&lt;&gt;G32),"Check your totals on your Cash Flow","")</t>
        </r>
      </text>
    </comment>
    <comment ref="F34" authorId="0" shapeId="0">
      <text>
        <r>
          <rPr>
            <b/>
            <sz val="8"/>
            <color indexed="81"/>
            <rFont val="Tahoma"/>
            <family val="2"/>
          </rPr>
          <t>Training The Street:</t>
        </r>
        <r>
          <rPr>
            <sz val="8"/>
            <color indexed="81"/>
            <rFont val="Tahoma"/>
            <family val="2"/>
          </rPr>
          <t xml:space="preserve">
Do not delete
=IF(ROUND(-G32,3)&lt;&gt;ROUND(LOOKUP($G$5,bs!$H$5:$O$5,bs!H34:O34),3),"Check your totals on your Balance Sheet","")</t>
        </r>
      </text>
    </comment>
  </commentList>
</comments>
</file>

<file path=xl/comments13.xml><?xml version="1.0" encoding="utf-8"?>
<comments xmlns="http://schemas.openxmlformats.org/spreadsheetml/2006/main">
  <authors>
    <author>Training the Street</author>
    <author>Training The Street, Inc.</author>
  </authors>
  <commentList>
    <comment ref="C25" authorId="0" shapeId="0">
      <text>
        <r>
          <rPr>
            <b/>
            <sz val="8"/>
            <color indexed="81"/>
            <rFont val="Tahoma"/>
            <family val="2"/>
          </rPr>
          <t>Training The Street:</t>
        </r>
        <r>
          <rPr>
            <sz val="8"/>
            <color indexed="81"/>
            <rFont val="Tahoma"/>
            <family val="2"/>
          </rPr>
          <t xml:space="preserve">
= Net income / sales</t>
        </r>
      </text>
    </comment>
    <comment ref="C26" authorId="0" shapeId="0">
      <text>
        <r>
          <rPr>
            <b/>
            <sz val="8"/>
            <color indexed="81"/>
            <rFont val="Tahoma"/>
            <family val="2"/>
          </rPr>
          <t>Training The Street:</t>
        </r>
        <r>
          <rPr>
            <sz val="8"/>
            <color indexed="81"/>
            <rFont val="Tahoma"/>
            <family val="2"/>
          </rPr>
          <t xml:space="preserve">
= Net income / average total assets</t>
        </r>
      </text>
    </comment>
    <comment ref="C27" authorId="0" shapeId="0">
      <text>
        <r>
          <rPr>
            <b/>
            <sz val="8"/>
            <color indexed="81"/>
            <rFont val="Tahoma"/>
            <family val="2"/>
          </rPr>
          <t>Training The Street:</t>
        </r>
        <r>
          <rPr>
            <sz val="8"/>
            <color indexed="81"/>
            <rFont val="Tahoma"/>
            <family val="2"/>
          </rPr>
          <t xml:space="preserve">
= Net income / average total shareholder's equity</t>
        </r>
      </text>
    </comment>
    <comment ref="C28" authorId="0" shapeId="0">
      <text>
        <r>
          <rPr>
            <b/>
            <sz val="8"/>
            <color indexed="81"/>
            <rFont val="Tahoma"/>
            <family val="2"/>
          </rPr>
          <t>Training The Street:</t>
        </r>
        <r>
          <rPr>
            <sz val="8"/>
            <color indexed="81"/>
            <rFont val="Tahoma"/>
            <family val="2"/>
          </rPr>
          <t xml:space="preserve">
= Net income / (total debt + total equity)</t>
        </r>
      </text>
    </comment>
    <comment ref="L33" authorId="0" shapeId="0">
      <text>
        <r>
          <rPr>
            <b/>
            <sz val="8"/>
            <color indexed="81"/>
            <rFont val="Tahoma"/>
            <family val="2"/>
          </rPr>
          <t>Training The Street:</t>
        </r>
        <r>
          <rPr>
            <sz val="8"/>
            <color indexed="81"/>
            <rFont val="Tahoma"/>
            <family val="2"/>
          </rPr>
          <t xml:space="preserve">
Source:  McCormick 2013 10-K, Note 6, p. 36.
Based on projected annual fixed payment table</t>
        </r>
      </text>
    </comment>
    <comment ref="H66" authorId="1" shapeId="0">
      <text>
        <r>
          <rPr>
            <b/>
            <sz val="8"/>
            <color indexed="81"/>
            <rFont val="Tahoma"/>
            <family val="2"/>
          </rPr>
          <t>Training The Street:</t>
        </r>
        <r>
          <rPr>
            <sz val="8"/>
            <color indexed="81"/>
            <rFont val="Tahoma"/>
            <family val="2"/>
          </rPr>
          <t xml:space="preserve">
Cash + Accounts Receivable</t>
        </r>
      </text>
    </comment>
    <comment ref="C79" authorId="1" shapeId="0">
      <text>
        <r>
          <rPr>
            <b/>
            <sz val="8"/>
            <color indexed="81"/>
            <rFont val="Tahoma"/>
            <family val="2"/>
          </rPr>
          <t>Training The Street:</t>
        </r>
        <r>
          <rPr>
            <sz val="8"/>
            <color indexed="81"/>
            <rFont val="Tahoma"/>
            <family val="2"/>
          </rPr>
          <t xml:space="preserve">
Quick Assets / Current Liabilities</t>
        </r>
      </text>
    </comment>
    <comment ref="C85" authorId="1" shapeId="0">
      <text>
        <r>
          <rPr>
            <b/>
            <sz val="8"/>
            <color indexed="81"/>
            <rFont val="Tahoma"/>
            <family val="2"/>
          </rPr>
          <t>Training The Street:</t>
        </r>
        <r>
          <rPr>
            <sz val="8"/>
            <color indexed="81"/>
            <rFont val="Tahoma"/>
            <family val="2"/>
          </rPr>
          <t xml:space="preserve">
=Sales / Net PP&amp;E</t>
        </r>
      </text>
    </comment>
    <comment ref="C86" authorId="1" shapeId="0">
      <text>
        <r>
          <rPr>
            <b/>
            <sz val="8"/>
            <color indexed="81"/>
            <rFont val="Tahoma"/>
            <family val="2"/>
          </rPr>
          <t>Training The Street:</t>
        </r>
        <r>
          <rPr>
            <sz val="8"/>
            <color indexed="81"/>
            <rFont val="Tahoma"/>
            <family val="2"/>
          </rPr>
          <t xml:space="preserve">
=Sales / Total Assets</t>
        </r>
      </text>
    </comment>
    <comment ref="C89" authorId="1" shapeId="0">
      <text>
        <r>
          <rPr>
            <b/>
            <sz val="8"/>
            <color indexed="81"/>
            <rFont val="Tahoma"/>
            <family val="2"/>
          </rPr>
          <t>Training The Street:</t>
        </r>
        <r>
          <rPr>
            <sz val="8"/>
            <color indexed="81"/>
            <rFont val="Tahoma"/>
            <family val="2"/>
          </rPr>
          <t xml:space="preserve">
Sales / Total assets</t>
        </r>
      </text>
    </comment>
    <comment ref="C90" authorId="1" shapeId="0">
      <text>
        <r>
          <rPr>
            <b/>
            <sz val="8"/>
            <color indexed="81"/>
            <rFont val="Tahoma"/>
            <family val="2"/>
          </rPr>
          <t xml:space="preserve">Training The Street:
</t>
        </r>
        <r>
          <rPr>
            <sz val="8"/>
            <color indexed="81"/>
            <rFont val="Tahoma"/>
            <family val="2"/>
          </rPr>
          <t>Assets / Net worth</t>
        </r>
      </text>
    </comment>
  </commentList>
</comments>
</file>

<file path=xl/sharedStrings.xml><?xml version="1.0" encoding="utf-8"?>
<sst xmlns="http://schemas.openxmlformats.org/spreadsheetml/2006/main" count="648" uniqueCount="361">
  <si>
    <t>Capital expenditures as % of sales</t>
  </si>
  <si>
    <t>(Depreciation expense)</t>
  </si>
  <si>
    <t>(Asset sales and write-offs)</t>
  </si>
  <si>
    <t xml:space="preserve">    CAGR    </t>
  </si>
  <si>
    <t>% growth</t>
  </si>
  <si>
    <t>Gross profit</t>
  </si>
  <si>
    <t>% margin</t>
  </si>
  <si>
    <t xml:space="preserve">Net income </t>
  </si>
  <si>
    <t>Dividends</t>
  </si>
  <si>
    <t>Average basic shares</t>
  </si>
  <si>
    <t>Issuance / (repayment) of revolver</t>
  </si>
  <si>
    <t>Memo Items:</t>
  </si>
  <si>
    <t>Capitalization*</t>
  </si>
  <si>
    <t>Memo items:</t>
  </si>
  <si>
    <t>Taxes</t>
  </si>
  <si>
    <t>Total debt</t>
  </si>
  <si>
    <t>Total stockholders' equity</t>
  </si>
  <si>
    <t>Total capitalization</t>
  </si>
  <si>
    <t>*all recorded at book value</t>
  </si>
  <si>
    <t>Leverage*</t>
  </si>
  <si>
    <t>Total debt / EBITDA</t>
  </si>
  <si>
    <t>Liquidity</t>
  </si>
  <si>
    <t>Accounts receivable</t>
  </si>
  <si>
    <t>Quick assets</t>
  </si>
  <si>
    <t>Inventory</t>
  </si>
  <si>
    <t>Current assets</t>
  </si>
  <si>
    <t>Total assets</t>
  </si>
  <si>
    <t>Current liabilities</t>
  </si>
  <si>
    <t>Working capital</t>
  </si>
  <si>
    <t>Current ratio</t>
  </si>
  <si>
    <t>Quick ratio</t>
  </si>
  <si>
    <t>Activity</t>
  </si>
  <si>
    <t>Accounts receivable (collection period)</t>
  </si>
  <si>
    <t>Inventories (days outstanding)</t>
  </si>
  <si>
    <t>Accounts payable (days outstanding)</t>
  </si>
  <si>
    <t>Net fixed asset turnover</t>
  </si>
  <si>
    <t>Asset turnover</t>
  </si>
  <si>
    <t>DuPont Analysis</t>
  </si>
  <si>
    <t>Asset leverage</t>
  </si>
  <si>
    <t>Additions to definite life intangibles</t>
  </si>
  <si>
    <r>
      <t>ç</t>
    </r>
    <r>
      <rPr>
        <sz val="10"/>
        <color indexed="23"/>
        <rFont val="Arial"/>
        <family val="2"/>
      </rPr>
      <t xml:space="preserve"> cell F5 is named </t>
    </r>
    <r>
      <rPr>
        <b/>
        <sz val="10"/>
        <color indexed="23"/>
        <rFont val="Arial"/>
        <family val="2"/>
      </rPr>
      <t>"subheader"</t>
    </r>
  </si>
  <si>
    <r>
      <t>ç</t>
    </r>
    <r>
      <rPr>
        <sz val="10"/>
        <color indexed="23"/>
        <rFont val="Arial"/>
        <family val="2"/>
      </rPr>
      <t xml:space="preserve"> cell is named </t>
    </r>
    <r>
      <rPr>
        <b/>
        <sz val="10"/>
        <color indexed="23"/>
        <rFont val="Arial"/>
        <family val="2"/>
      </rPr>
      <t>"FYE"</t>
    </r>
  </si>
  <si>
    <t>Step</t>
  </si>
  <si>
    <t>x</t>
  </si>
  <si>
    <t>X</t>
  </si>
  <si>
    <t>Final Inputs</t>
  </si>
  <si>
    <t>For Jump Starting</t>
  </si>
  <si>
    <t>Interest expense</t>
  </si>
  <si>
    <t>Capital expenditures</t>
  </si>
  <si>
    <t>END</t>
  </si>
  <si>
    <t>EPS</t>
  </si>
  <si>
    <t>Other long-term liabilities</t>
  </si>
  <si>
    <t>Stock-based compensation expense</t>
  </si>
  <si>
    <t>Option proceeds</t>
  </si>
  <si>
    <t>Beginning cash balance</t>
  </si>
  <si>
    <t>Ending cash balance</t>
  </si>
  <si>
    <t>Beginning balance</t>
  </si>
  <si>
    <t>Ending balance</t>
  </si>
  <si>
    <t>Net income</t>
  </si>
  <si>
    <t>Share repurchase assumptions</t>
  </si>
  <si>
    <t>Current year EPS</t>
  </si>
  <si>
    <t>Projected share price</t>
  </si>
  <si>
    <t>Shares repurchased - millions</t>
  </si>
  <si>
    <t>$ amount repurchased</t>
  </si>
  <si>
    <t>New shares from exercised options</t>
  </si>
  <si>
    <t>New shares issued from options - millions</t>
  </si>
  <si>
    <t>Average strike price</t>
  </si>
  <si>
    <t>Dividend assumptions</t>
  </si>
  <si>
    <t>Dividend payout ratio</t>
  </si>
  <si>
    <t>Long-term debt issuance</t>
  </si>
  <si>
    <t>Other current assets</t>
  </si>
  <si>
    <t>Definite life intangibles</t>
  </si>
  <si>
    <t>Indefinite life intangibles</t>
  </si>
  <si>
    <t>Other long-term assets</t>
  </si>
  <si>
    <t>Accounts payable</t>
  </si>
  <si>
    <t>Revolver</t>
  </si>
  <si>
    <t>Long-term debt</t>
  </si>
  <si>
    <t>Issuance of long-term debt</t>
  </si>
  <si>
    <t>(Repayment) of long-term debt</t>
  </si>
  <si>
    <t>Repurchase of equity</t>
  </si>
  <si>
    <t>"One-way, vertical table"</t>
  </si>
  <si>
    <t>"Two-way table"</t>
  </si>
  <si>
    <t>CAGR</t>
  </si>
  <si>
    <t>Sales</t>
  </si>
  <si>
    <t>EBIT</t>
  </si>
  <si>
    <t>EBITDA</t>
  </si>
  <si>
    <t>Net Income</t>
  </si>
  <si>
    <t>Gross Margin</t>
  </si>
  <si>
    <t>Cash</t>
  </si>
  <si>
    <t>Inventories</t>
  </si>
  <si>
    <t>PP&amp;E, net</t>
  </si>
  <si>
    <t>Depreciation</t>
  </si>
  <si>
    <t>Company Name</t>
  </si>
  <si>
    <t>Sub-header</t>
  </si>
  <si>
    <t>Step function</t>
  </si>
  <si>
    <t>Issuance</t>
  </si>
  <si>
    <t>Historicals not needed</t>
  </si>
  <si>
    <t>Goodwill</t>
  </si>
  <si>
    <t>Last Fiscal Year End</t>
  </si>
  <si>
    <r>
      <t>ç</t>
    </r>
    <r>
      <rPr>
        <sz val="10"/>
        <color indexed="23"/>
        <rFont val="Arial"/>
        <family val="2"/>
      </rPr>
      <t xml:space="preserve"> cell F3 is named </t>
    </r>
    <r>
      <rPr>
        <b/>
        <sz val="10"/>
        <color indexed="23"/>
        <rFont val="Arial"/>
        <family val="2"/>
      </rPr>
      <t>"name"</t>
    </r>
  </si>
  <si>
    <t>CapEx</t>
  </si>
  <si>
    <t>Diluted weighted average shares (in millions)</t>
  </si>
  <si>
    <t>Parity check (A = L+E)</t>
  </si>
  <si>
    <t>Beginning net PP&amp;E</t>
  </si>
  <si>
    <t>Ending net PP&amp;E</t>
  </si>
  <si>
    <t>Pretax income</t>
  </si>
  <si>
    <t>Earnings per share</t>
  </si>
  <si>
    <t>Gross margin</t>
  </si>
  <si>
    <t>SG&amp;A margin</t>
  </si>
  <si>
    <t>Sales growth rate</t>
  </si>
  <si>
    <t>Effective tax rate</t>
  </si>
  <si>
    <t>Operating activities</t>
  </si>
  <si>
    <t>Investing activities</t>
  </si>
  <si>
    <t>Financing activities</t>
  </si>
  <si>
    <t>Net change in cash</t>
  </si>
  <si>
    <t>Working capital balances</t>
  </si>
  <si>
    <t>Total non-cash current assets:</t>
  </si>
  <si>
    <t>Dollars in millions, except per share data</t>
  </si>
  <si>
    <t>Accounts receivable, net</t>
  </si>
  <si>
    <t>Change in other long-term assets and liabilities</t>
  </si>
  <si>
    <t>Total non-debt current liabilities</t>
  </si>
  <si>
    <t>Ratios and assumptions</t>
  </si>
  <si>
    <t>Beginning equity balance</t>
  </si>
  <si>
    <t>Ending equity balance</t>
  </si>
  <si>
    <t>Assumed current year P/E multiple</t>
  </si>
  <si>
    <t>Cash flow available for financing activities</t>
  </si>
  <si>
    <t>Plus: beginning cash balance</t>
  </si>
  <si>
    <t>Less: minimum cash balance</t>
  </si>
  <si>
    <t>Cash available for debt repayment</t>
  </si>
  <si>
    <t>Excess cash available for revolver</t>
  </si>
  <si>
    <t>Long-term debt (repayment)</t>
  </si>
  <si>
    <t>(Repayment)</t>
  </si>
  <si>
    <t>Average balances</t>
  </si>
  <si>
    <t>Interest rate</t>
  </si>
  <si>
    <t>Total interest expense</t>
  </si>
  <si>
    <t>Profitability ratios</t>
  </si>
  <si>
    <t>Interest coverage</t>
  </si>
  <si>
    <t>Asset sales and write-offs</t>
  </si>
  <si>
    <t>Minimum cash balance</t>
  </si>
  <si>
    <t>Net working capital / (deficit)</t>
  </si>
  <si>
    <t>EBITDA - capital expenditures / interest expense</t>
  </si>
  <si>
    <t>EBITDA / interest expense</t>
  </si>
  <si>
    <t>EBIT / interest expense</t>
  </si>
  <si>
    <t>Return on invested capital</t>
  </si>
  <si>
    <t>Total debt / total capitalization</t>
  </si>
  <si>
    <t xml:space="preserve">Returns </t>
  </si>
  <si>
    <t>Return on Net Sales</t>
  </si>
  <si>
    <r>
      <t xml:space="preserve">Return on Assets </t>
    </r>
    <r>
      <rPr>
        <i/>
        <sz val="10"/>
        <rFont val="Arial"/>
        <family val="2"/>
      </rPr>
      <t>(avg)</t>
    </r>
  </si>
  <si>
    <r>
      <t xml:space="preserve">Return on Equity </t>
    </r>
    <r>
      <rPr>
        <i/>
        <sz val="10"/>
        <rFont val="Arial"/>
        <family val="2"/>
      </rPr>
      <t>(avg)</t>
    </r>
  </si>
  <si>
    <r>
      <t xml:space="preserve">Return on Invested Capital </t>
    </r>
    <r>
      <rPr>
        <i/>
        <sz val="10"/>
        <rFont val="Arial"/>
        <family val="2"/>
      </rPr>
      <t>(avg)</t>
    </r>
  </si>
  <si>
    <t>Rent expense</t>
  </si>
  <si>
    <t>EBITDAR</t>
  </si>
  <si>
    <t>EBITDAR / interest expense + rent</t>
  </si>
  <si>
    <t>EBITDAR / net interest expense + rent</t>
  </si>
  <si>
    <t>Multiplier</t>
  </si>
  <si>
    <t>Debt adjustment for operating leases</t>
  </si>
  <si>
    <t>Total adjusted debt / EBITDAR</t>
  </si>
  <si>
    <t>McCormick &amp; Co. Inc.</t>
  </si>
  <si>
    <t>severance costs</t>
  </si>
  <si>
    <t>tax adj.</t>
  </si>
  <si>
    <t>pre-tax (SG&amp;A)</t>
  </si>
  <si>
    <t>est. after-tax</t>
  </si>
  <si>
    <t>est. tax adj.</t>
  </si>
  <si>
    <t>Tax rate used if after-tax not disclosed</t>
  </si>
  <si>
    <t>Equity in affiliates</t>
  </si>
  <si>
    <t>Assets</t>
  </si>
  <si>
    <t>Liabilities</t>
  </si>
  <si>
    <t>Investments in unconsolidated affiliates</t>
  </si>
  <si>
    <t>Equity income</t>
  </si>
  <si>
    <t>Additions</t>
  </si>
  <si>
    <t>Additions as % of sales</t>
  </si>
  <si>
    <t>Beginning definite life intangibles</t>
  </si>
  <si>
    <t>(Amortization expense)</t>
  </si>
  <si>
    <t>(Write-offs)</t>
  </si>
  <si>
    <t>Ending definite life intangibles</t>
  </si>
  <si>
    <t>(Income) from unconsolidated affiliates, net of dividends</t>
  </si>
  <si>
    <t>Beginning balance - basic (actual)</t>
  </si>
  <si>
    <t>Shares issued from options</t>
  </si>
  <si>
    <t>Shares repurchased</t>
  </si>
  <si>
    <t>Ending balance - basic (actual)</t>
  </si>
  <si>
    <t>Effects of dilutive securities</t>
  </si>
  <si>
    <t>Average diluted shares</t>
  </si>
  <si>
    <t>Debt tranche</t>
  </si>
  <si>
    <t>Rate</t>
  </si>
  <si>
    <t>Weighted avg.</t>
  </si>
  <si>
    <t xml:space="preserve">Interest (income) </t>
  </si>
  <si>
    <t>Balance Sheet</t>
  </si>
  <si>
    <t>Select the first year out of parity</t>
  </si>
  <si>
    <t>Cash Flow</t>
  </si>
  <si>
    <t>Difference</t>
  </si>
  <si>
    <t>Check</t>
  </si>
  <si>
    <t xml:space="preserve">Beginning Bal. </t>
  </si>
  <si>
    <t>Ending Bal.</t>
  </si>
  <si>
    <t>Depr.</t>
  </si>
  <si>
    <t>Total</t>
  </si>
  <si>
    <t>Total non-cash current assets ---&gt;</t>
  </si>
  <si>
    <t>Payment</t>
  </si>
  <si>
    <t>NI</t>
  </si>
  <si>
    <t>StockComp</t>
  </si>
  <si>
    <t>Buyback</t>
  </si>
  <si>
    <t>Options</t>
  </si>
  <si>
    <t xml:space="preserve">  Working Capital</t>
  </si>
  <si>
    <t>Total non-debt current liabilities ---&gt;</t>
  </si>
  <si>
    <t>(Increase) / decrease in working capital ---&gt;</t>
  </si>
  <si>
    <t>Parity Check</t>
  </si>
  <si>
    <t>Dividends received from affiliates</t>
  </si>
  <si>
    <t>Amort.</t>
  </si>
  <si>
    <t>Amortization</t>
  </si>
  <si>
    <t>Minority interest expense / (equity income in affiliates)</t>
  </si>
  <si>
    <t>Interest (income)</t>
  </si>
  <si>
    <t>Cash balances</t>
  </si>
  <si>
    <t>Comments / Non-Recurring Item Adjustments</t>
  </si>
  <si>
    <t xml:space="preserve">Amortization </t>
  </si>
  <si>
    <t>(Increase) / decrease in working capital</t>
  </si>
  <si>
    <t>Total current assets:</t>
  </si>
  <si>
    <t>Total assets:</t>
  </si>
  <si>
    <t>Total current liabilities:</t>
  </si>
  <si>
    <t>Total liabilities:</t>
  </si>
  <si>
    <t>Total liabilities and equity:</t>
  </si>
  <si>
    <t>Cost of goods sold (excluding depreciation)</t>
  </si>
  <si>
    <t>Cash flow from operating activities</t>
  </si>
  <si>
    <t>Cash flow from investing activities</t>
  </si>
  <si>
    <t>Cash flow from financing activities</t>
  </si>
  <si>
    <t>Other current liabilities</t>
  </si>
  <si>
    <t>Total other long-term assets:</t>
  </si>
  <si>
    <t>(Increase) / decrease in other assets:</t>
  </si>
  <si>
    <t>Total other long-term liabilities:</t>
  </si>
  <si>
    <t>Increase / (decrease) in other long-term liabilities:</t>
  </si>
  <si>
    <t>Depreciation expense</t>
  </si>
  <si>
    <t>Depreciation as % of CapEx</t>
  </si>
  <si>
    <t>Depreciation as PP&amp;E, net</t>
  </si>
  <si>
    <t>Amortization expense</t>
  </si>
  <si>
    <t>Amortization as % of intangibles, net</t>
  </si>
  <si>
    <t>Number of days, in the period</t>
  </si>
  <si>
    <t>Training The Street, Inc.</t>
  </si>
  <si>
    <t>275 Madison Avenue  Suite 1201</t>
  </si>
  <si>
    <t xml:space="preserve">New York, NY 10016 USA </t>
  </si>
  <si>
    <t xml:space="preserve"> ● Financial Modeling </t>
  </si>
  <si>
    <t xml:space="preserve"> ● Merger Modeling </t>
  </si>
  <si>
    <t xml:space="preserve"> ● Excel Best Practices</t>
  </si>
  <si>
    <t>Fax:+1 (704) 547-3261</t>
  </si>
  <si>
    <t xml:space="preserve">Corporate Valuation and Financial Modeling workshops ideal for industry </t>
  </si>
  <si>
    <t xml:space="preserve">Evening &amp; Weekend </t>
  </si>
  <si>
    <t xml:space="preserve">Classes </t>
  </si>
  <si>
    <t>Public Comparables, Acquisition Comparables, Financial Modeling</t>
  </si>
  <si>
    <t>Discounted Cash Flow, Merger Modeling, Leveraged Buyouts</t>
  </si>
  <si>
    <t>TTS Macros List?</t>
  </si>
  <si>
    <t>Ratios &amp; Assumptions</t>
  </si>
  <si>
    <t>Other non-operating (income) / expense (amount)</t>
  </si>
  <si>
    <t xml:space="preserve"> </t>
  </si>
  <si>
    <t>Use – MIN statement ---&gt;</t>
  </si>
  <si>
    <t>pension settlement</t>
  </si>
  <si>
    <t>asset write-downs (impairment charge)</t>
  </si>
  <si>
    <t>10K, Note 2, p.33</t>
  </si>
  <si>
    <t>Transaction costs (WAPC acquisition)</t>
  </si>
  <si>
    <t>Transaction costs (acquisitions)</t>
  </si>
  <si>
    <t>10K, MD&amp;A, p.16 &amp; p.34</t>
  </si>
  <si>
    <t>SG&amp;A expenses (excluding amortization) (1)</t>
  </si>
  <si>
    <t xml:space="preserve">Depreciation </t>
  </si>
  <si>
    <t>EBIT (2)</t>
  </si>
  <si>
    <t xml:space="preserve">2013 EBIT excludes a $25.0 million special charge related to restructuring.  2013 EBIT also excludes $15.3 million in loss on voluntary pension settlements.  Source:  MKC 2013 10-K, pgs. 27 and Note 3, p. 34. </t>
  </si>
  <si>
    <t>Other non-operating (income) / expense</t>
  </si>
  <si>
    <t>Income taxes (3)</t>
  </si>
  <si>
    <t>restructuring and $15.3 million in loss on voluntary pension settlements.</t>
  </si>
  <si>
    <t>2011 SG&amp;A excludes $10.9 million in acquisition costs.  2012 SG&amp;A excludes $1.7 million in acquisition costs.  2013 SG&amp;A excludes $4.3 million in acquisition costs.  Source:  MKC 2013 10-K, MD&amp;A, pgs. 16, 33, and 34.</t>
  </si>
  <si>
    <t xml:space="preserve">2011 income taxes excludes acquisition related costs of $10.9 mllion.  2012 income taxes excludes acquisition costs of $1.7 million.  2013 income taxes excludes acquisition costs of $4.3 million, $25.0 million of special charges related to </t>
  </si>
  <si>
    <t>exit costs</t>
  </si>
  <si>
    <t>Shares issued from RSUs and MTIPs</t>
  </si>
  <si>
    <t>Restructuring charges &amp; Loss on Voluntary Pension Settlement</t>
  </si>
  <si>
    <t>10-K, I/S, MD&amp;A, p.12, 13, 18 &amp; Note 3, p.34, Note 9, p. 38</t>
  </si>
  <si>
    <t>total pre-tax restructuring charges</t>
  </si>
  <si>
    <t>total pre-tax restructuring charges &amp; pension settlement</t>
  </si>
  <si>
    <t xml:space="preserve">after-tax </t>
  </si>
  <si>
    <t>LIBOR curve</t>
  </si>
  <si>
    <t>Spread over LIBOR</t>
  </si>
  <si>
    <t>LIBOR Step</t>
  </si>
  <si>
    <t>AwABTAVMT0NBTAFI/////wFQKwAAACNDSVEuTllTRTpUSFMuSVFfSU5WRU5UT1JZLjEwMDAuLkxGUgEAAAAA/1UBAgAAAAc0MDUuNjk4AQgAAAAFAAAAATEBAAAACjE2NTkzODcxMjUDAAAAAzE2MAIAAAAEMTA0MwQAAAABMAcAAAAKMTIvMTcvMjAxNAgAAAAKMTIvMzEvMjAxMwkAAAABMFYIJqbI6NEIjQVNus7o0QgiQ0lRLk5ZU0U6Q1BCLklRX0NPU1RfUkVWLjEwMDAuLkxGUgEAAACa8QMAAgAAAAQ1MzY3AQgAAAAFAAAAATEBAAAACjE2OTkxNTg3MTADAAAAAzE2MAIAAAABMQQAAAABMAcAAAAKMTIvMTcvMjAxNAgAAAAIOC8zLzIwMTQJAAAAATBWCCamyOjRCJ0sTbrO6NEIHENJUS5OWVNFOkNQQi5JUV9DT01QQU5ZX05BTUUBAAAAmvEDAAMAAAAVQ2FtcGJlbGwgU291cCBDb21wYW55AEbhJabI6NEIz6FNus7o0QgjQ0lRLk5ZU0U6TUpOLklRX0lOVkVOVE9SWS4xMDAwLi5MRlIBAAAAM0sPAAIAAAAFNTM0LjgBCAAAAAUAAAABMQEAAAAKMTY1ODk0NjQ1NgMAAAADMTYwAgAAAAQxMDQzBAAAAAEwBwAAAAoxMi8xNy8yMDE0CAAAAAoxMi8zMS8yMDEzCQAAAAEwVggmpsjo0QiNBU26zujRCCFDSVEuTllTRTpQRi5JUV9DT1NUX1JFVi4xMDAwLi5MRlIBAAAAVDwQAAIAAAAIMTc5OC43MzYBCAAAAAUAAAABMQEAAAAKMTY2MTgxMzY4OQMAAAADMTYwAgAAAAExBAAAAAEwBwAAAAoxMi8xNy8yMDE0CAAAAAo</t>
  </si>
  <si>
    <t>xMi8yOS8yMDEzCQAAAAEwRuElpsjo0QiNBU26zujRCCJDSVEuTllTRTpHSVMuSVFfQ09TVF9SRVYuMTAwMC4uTEZSAQAAABsxBAACAAAABzExNTM5LjgBCAAAAAUAAAABMQEAAAAKMTY4NTc0NzIxNAMAAAADMTYwAgAAAAExBAAAAAEwBwAAAAoxMi8xNy8yMDE0CAAAAAk1LzI1LzIwMTQJAAAAATBWCCamyOjRCHzeTLrO6NEIHENJUS5OWVNFOkdJUy5JUV9DT01QQU5ZX05BTUUBAAAAGzEEAAMAAAATR2VuZXJhbCBNaWxscywgSW5jLgBG4SWmyOjRCI0FTbrO6NEIIkNJUS5OWVNFOlRIUy5JUV9DT1NUX1JFVi4xMDAwLi5MRlIBAAAAAP9VAQIAAAAIMTc5OS45MTcBCAAAAAUAAAABMQEAAAAKMTY1OTM4NzEyNQMAAAADMTYwAgAAAAExBAAAAAEwBwAAAAoxMi8xNy8yMDE0CAAAAAoxMi8zMS8yMDEzCQAAAAEwVggmpsjo0QiNBU26zujRCCNDSVEuTllTRTpTSk0uSVFfSU5WRU5UT1JZLjEwMDAuLkxGUgEAAADnoQQAAgAAAAM5MzEBCAAAAAUAAAABMQEAAAAKMTY4NDE2OTk2MAMAAAADMTYwAgAAAAQxMDQzBAAAAAEwBwAAAAoxMi8xNy8yMDE0CAAAAAk0LzMwLzIwMTQJAAAAATBWCCamyOjRCI0FTbrO6NEII0NJUS5OWVNFOkZMTy5JUV9JTlZFTlRPUlkuMTAwMC4uTEZSAQAAAFPVDgACAAAABzE0OC44MDcBCAAAAAUAAAABMQEAAAAKMTY1OTI0NDY3MgMAAAADMTYwAgAAAAQxMDQzBAAAAAEwBwAAAAoxMi8xNy</t>
  </si>
  <si>
    <t>8yMDE0CAAAAAoxMi8yOC8yMDEzCQAAAAEwVggmpsjo0QiNBU26zujRCCJDSVEuTllTRTpQRi5JUV9JTlZFTlRPUlkuMTAwMC4uTEZSAQAAAFQ8EAACAAAABzM2MS44NzIBCAAAAAUAAAABMQEAAAAKMTY2MTgxMzY4OQMAAAADMTYwAgAAAAQxMDQzBAAAAAEwBwAAAAoxMi8xNy8yMDE0CAAAAAoxMi8yOS8yMDEzCQAAAAEwVggmpsjo0Qh83ky6zujRCBhDSVEuTUtDLklRX1FVSUNLX0NPTVAuMTABAAAAuMMCAAMAAAAITllTRTpGTE8ABkcdpcjo0QiNBU26zujRCBdDSVEuTUtDLklRX1FVSUNLX0NPTVAuMwEAAAC4wwIAAwAAAAhOWVNFOkNBRwAGRx2lyOjRCI0FTbrO6NEII0NJUS5OWVNFOkdJUy5JUV9JTlZFTlRPUlkuMTAwMC4uTEZSAQAAABsxBAACAAAABjE1NTkuNAEIAAAABQAAAAExAQAAAAoxNjg1NzQ3MjE0AwAAAAMxNjACAAAABDEwNDMEAAAAATAHAAAACjEyLzE3LzIwMTQIAAAACTUvMjUvMjAxNAkAAAABMFYIJqbI6NEIjQVNus7o0QgjQ0lRLk5ZU0U6Q0FHLklRX0lOVkVOVE9SWS4xMDAwLi5MRlIBAAAADWkAAAIAAAAGMjI5Mi42AQgAAAAFAAAAATEBAAAACjE2ODcxNDc5MDgDAAAAAzE2MAIAAAAEMTA0MwQAAAABMAcAAAAKMTIvMTcvMjAxNAgAAAAJNS8yNS8yMDE0CQAAAAEwVggmpsjo0QjgyE26zujRCCJDSVEuTllTRTpNSk4uSVFfQ09TVF9SRVYuMTAwMC4uTEZSAQAAADNLDwACAAAABjE1M</t>
  </si>
  <si>
    <t>zIuOAEIAAAABQAAAAExAQAAAAoxNjU4OTQ2NDU2AwAAAAMxNjACAAAAATEEAAAAATAHAAAACjEyLzE3LzIwMTQIAAAACjEyLzMxLzIwMTMJAAAAATBWCCamyOjRCHzeTLrO6NEIIkNJUS5OWVNFOkNBRy5JUV9DT1NUX1JFVi4xMDAwLi5MRlIBAAAADWkAAAIAAAAHMTM5NzguNwEIAAAABQAAAAExAQAAAAoxNjg3MTQ3OTA4AwAAAAMxNjACAAAAATEEAAAAATAHAAAACjEyLzE3LzIwMTQIAAAACTUvMjUvMjAxNAkAAAABMFYIJqbI6NEI4MhNus7o0QgXQ0lRLk1LQy5JUV9RVUlDS19DT01QLjcBAAAAuMMCAAMAAAAITllTRTpHSVMABkcdpcjo0Qh83ky6zujRCCJDSVEuTllTRTpIU1kuSVFfQ09TVF9SRVYuMTAwMC4uTEZSAQAAADmCAQACAAAACDM4NjQuNTI5AQgAAAAFAAAAATEBAAAACjE2NTkzODQ3OTIDAAAAAzE2MAIAAAABMQQAAAABMAcAAAAKMTIvMTcvMjAxNAgAAAAKMTIvMzEvMjAxMwkAAAABMFYIJqbI6NEIfN5Mus7o0QghQ0lRLk5ZU0U6REYuSVFfQ09TVF9SRVYuMTAwMC4uTEZSAQAAAEOIAAACAAAACDcxNjEuNzM0AQgAAAAFAAAAATEBAAAACjE2NjAxNjAzOTQDAAAAAzE2MAIAAAABMQQAAAABMAcAAAAKMTIvMTcvMjAxNAgAAAAKMTIvMzEvMjAxMwkAAAABMFYIJqbI6NEIjQVNus7o0QgbQ0lRLk5ZU0U6UEYuSVFfQ09NUEFOWV9OQU1FAQAAAFQ8EAADAAAAE1Bpbm5hY2xlIEZvb2RzIEluYy4A</t>
  </si>
  <si>
    <t>RuElpsjo0QiNBU26zujRCCJDSVEuTllTRTpTSk0uSVFfQ09TVF9SRVYuMTAwMC4uTEZSAQAAAOehBAACAAAABjM1NzAuMgEIAAAABQAAAAExAQAAAAoxNjg0MTY5OTYwAwAAAAMxNjACAAAAATEEAAAAATAHAAAACjEyLzE3LzIwMTQIAAAACTQvMzAvMjAxNAkAAAABMFYIJqbI6NEIjQVNus7o0QgjQ0lRLk5ZU0U6Q1BCLklRX0lOVkVOVE9SWS4xMDAwLi5MRlIBAAAAmvEDAAIAAAAEMTAxNgEIAAAABQAAAAExAQAAAAoxNjk5MTU4NzEwAwAAAAMxNjACAAAABDEwNDMEAAAAATAHAAAACjEyLzE3LzIwMTQIAAAACDgvMy8yMDE0CQAAAAEwVggmpsjo0QjPoU26zujRCBdDSVEuTUtDLklRX1FVSUNLX0NPTVAuMQEAAAC4wwIAAwAAAAhOWVNFOlNKTQD1Hx2lyOjRCI0FTbrO6NEIHENJUS5OWVNFOlNKTS5JUV9DT01QQU5ZX05BTUUBAAAA56EEAAMAAAAZVGhlIEouIE0uIFNtdWNrZXIgQ29tcGFueQBG4SWmyOjRCI0FTbrO6NEII0NJUS5OWVNFOkhTWS5JUV9JTlZFTlRPUlkuMTAwMC4uTEZSAQAAADmCAQACAAAABzY1OS41NDEBCAAAAAUAAAABMQEAAAAKMTY1OTM4NDc5MgMAAAADMTYwAgAAAAQxMDQzBAAAAAEwBwAAAAoxMi8xNy8yMDE0CAAAAAoxMi8zMS8yMDEzCQAAAAEwVggmpsjo0QiNBU26zujRCBdDSVEuTUtDLklRX1FVSUNLX0NPTVAuNAEAAAC4wwIAAwAAAAdOWVNFOkRGAAZHHaXI6NEIfN5Mus7o0Qg</t>
  </si>
  <si>
    <t>cQ0lRLk5ZU0U6RkxPLklRX0NPTVBBTllfTkFNRQEAAABT1Q4AAwAAABNGbG93ZXJzIEZvb2RzLCBJbmMuAEbhJabI6NEIjQVNus7o0QgXQ0lRLk1LQy5JUV9RVUlDS19DT01QLjUBAAAAuMMCAAMAAAAITllTRTpIU1kABkcdpcjo0Qh83ky6zujRCBxDSVEuTllTRTpUSFMuSVFfQ09NUEFOWV9OQU1FAQAAAAD/VQEDAAAAFVRyZWVob3VzZSBGb29kcywgSW5jLgBG4SWmyOjRCI0FTbrO6NEIHENJUS5OWVNFOkNBRy5JUV9DT01QQU5ZX05BTUUBAAAADWkAAAMAAAATQ29uQWdyYSBGb29kcywgSW5jLgBG4SWmyOjRCODITbrO6NEIF0NJUS5NS0MuSVFfUVVJQ0tfQ09NUC44AQAAALjDAgADAAAACE5ZU0U6VEhTAAZHHaXI6NEIjQVNus7o0QgcQ0lRLk5ZU0U6SFNZLklRX0NPTVBBTllfTkFNRQEAAAA5ggEAAwAAABNUaGUgSGVyc2hleSBDb21wYW55AEbhJabI6NEIjQVNus7o0QgXQ0lRLk1LQy5JUV9RVUlDS19DT01QLjIBAAAAuMMCAAMAAAAITllTRTpDUEIABkcdpcjo0QiNBU26zujRCBRDSVEuLklRX0NPTVBBTllfTkFNRQUAAAABAAAACAAAABQoSW52YWxpZCBJZGVudGlmaWVyKfUfHaXI6NEIGoc6ZM7o0QgXQ0lRLk1LQy5JUV9RVUlDS19DT01QLjkBAAAAuMMCAAMAAAAHTllTRTpQRgAGRx2lyOjRCHzeTLrO6NEIHENJUS5OWVNFOk1KTi5JUV9DT01QQU5ZX05BTUUBAAAAM0sPAAMAAAAeTWVhZCBKb2huc2</t>
  </si>
  <si>
    <t>9uIE51dHJpdGlvbiBDb21wYW55AEbhJabI6NEIfN5Mus7o0QgbQ0lRLk5ZU0U6REYuSVFfQ09NUEFOWV9OQU1FAQAAAEOIAAADAAAAEkRlYW4gRm9vZHMgQ29tcGFueQBG4SWmyOjRCHzeTLrO6NEIGkNJUS4uSVFfQ09TVF9SRVYuMTAwMC4uTEZSBQAAAAEAAAAIAAAAFChJbnZhbGlkIElkZW50aWZpZXIp9R8dpcjo0QgahzpkzujRCCJDSVEuTllTRTpGTE8uSVFfQ09TVF9SRVYuMTAwMC4uTEZSAQAAAFPVDgACAAAACDE5NzIuMjIxAQgAAAAFAAAAATEBAAAACjE2NTkyNDQ2NzIDAAAAAzE2MAIAAAABMQQAAAABMAcAAAAKMTIvMTcvMjAxNAgAAAAKMTIvMjgvMjAxMwkAAAABMFYIJqbI6NEIjQVNus7o0QgXQ0lRLk1LQy5JUV9RVUlDS19DT01QLjYBAAAAuMMCAAMAAAAITllTRTpNSk4ABkcdpcjo0Qh83ky6zujRCCJDSVEuTllTRTpERi5JUV9JTlZFTlRPUlkuMTAwMC4uTEZSAQAAAEOIAAACAAAABzI2Mi44NTgBCAAAAAUAAAABMQEAAAAKMTY2MDE2MDM5NAMAAAADMTYwAgAAAAQxMDQzBAAAAAEwBwAAAAoxMi8xNy8yMDE0CAAAAAoxMi8zMS8yMDEzCQAAAAEwVggmpsjo0QidLE26zujRCBtDSVEuLklRX0lOVkVOVE9SWS4xMDAwLi5MRlIFAAAAAQAAAAgAAAAUKEludmFsaWQgSWRlbnRpZmllcin1Hx2lyOjRCBqHOmTO6NEI</t>
  </si>
  <si>
    <t xml:space="preserve">Capital IQ: 2014 EPS $3.36 / 2015 EPS $3.60 </t>
  </si>
  <si>
    <t xml:space="preserve">Public Courses, </t>
  </si>
  <si>
    <t>Less:  Depreciation</t>
  </si>
  <si>
    <t>Less:  Amortization</t>
  </si>
  <si>
    <t>Less: Taxes @</t>
  </si>
  <si>
    <t>Tax-effected EBIT</t>
  </si>
  <si>
    <t>Plus:  Depreciation</t>
  </si>
  <si>
    <t>Plus:  Amortization</t>
  </si>
  <si>
    <t>Less:  Capital expenditures</t>
  </si>
  <si>
    <t>Less:  Additions to definite life intangibles</t>
  </si>
  <si>
    <t xml:space="preserve"> + / -  Changes in working capital</t>
  </si>
  <si>
    <t xml:space="preserve"> + / -  Changes in other assets and liabilities</t>
  </si>
  <si>
    <t>Unlevered Free Cash Flow</t>
  </si>
  <si>
    <t>Unlevered Free Cash Flow Growth Rate</t>
  </si>
  <si>
    <t>Perpetuity Growth Method</t>
  </si>
  <si>
    <t>EBITDA Multiple Method</t>
  </si>
  <si>
    <t>Weighted average cost of capital:</t>
  </si>
  <si>
    <t>Net present value of free cash flow (b)</t>
  </si>
  <si>
    <t>xxxx</t>
  </si>
  <si>
    <t>Exit multiple</t>
  </si>
  <si>
    <t>Terminal value</t>
  </si>
  <si>
    <t>Present value of the terminal value (c)</t>
  </si>
  <si>
    <t>Enterprise Value</t>
  </si>
  <si>
    <t xml:space="preserve"> LESS: Net Debt (d) (e)</t>
  </si>
  <si>
    <t>Equity Value</t>
  </si>
  <si>
    <t>Diluted shares:</t>
  </si>
  <si>
    <r>
      <t xml:space="preserve">Equity Value Per Share </t>
    </r>
    <r>
      <rPr>
        <sz val="10"/>
        <color indexed="8"/>
        <rFont val="Arial"/>
        <family val="2"/>
      </rPr>
      <t>(f)</t>
    </r>
  </si>
  <si>
    <r>
      <t xml:space="preserve">Equity Value Per Share </t>
    </r>
    <r>
      <rPr>
        <sz val="10"/>
        <color indexed="8"/>
        <rFont val="Arial"/>
        <family val="2"/>
      </rPr>
      <t>(e)</t>
    </r>
  </si>
  <si>
    <t>Implied EBITDA Exit Multiple</t>
  </si>
  <si>
    <t>Implied Perpetuity Growth Rate</t>
  </si>
  <si>
    <t>Terminal year unlevered free cash flow</t>
  </si>
  <si>
    <t>Terminal year EBITDA</t>
  </si>
  <si>
    <t>Weighted average cost of capital</t>
  </si>
  <si>
    <t>Multiple</t>
  </si>
  <si>
    <t>Implied EBITDA Exit Multiple:</t>
  </si>
  <si>
    <t>Implied Growth Rate:</t>
  </si>
  <si>
    <t>Trading at $67.10 as of October 17, 2014</t>
  </si>
  <si>
    <t>Consensus price target of $73.00 as of October 17, 2014</t>
  </si>
  <si>
    <t>a)</t>
  </si>
  <si>
    <t>Projections based on internal estimates.</t>
  </si>
  <si>
    <t>b)</t>
  </si>
  <si>
    <t>c)</t>
  </si>
  <si>
    <t>d)</t>
  </si>
  <si>
    <t>e)</t>
  </si>
  <si>
    <t>"Net debt" includes total debt &amp; minority interest less cash &amp; cash equivalents.</t>
  </si>
  <si>
    <t>f )</t>
  </si>
  <si>
    <t>Many practitioners use the latest available diluted shares as an estimate.</t>
  </si>
  <si>
    <t>PV date:</t>
  </si>
  <si>
    <t>Date of net debt and shares:</t>
  </si>
  <si>
    <t>DCF Sensitivity Analysis</t>
  </si>
  <si>
    <t>Equity Value Per Share (Perpetuity Growth Method)</t>
  </si>
  <si>
    <t>Output cell</t>
  </si>
  <si>
    <t>Terminal</t>
  </si>
  <si>
    <t>growth</t>
  </si>
  <si>
    <t xml:space="preserve">rate </t>
  </si>
  <si>
    <t>Equity Value Per Share (EBITDA Multiple Method Growth Method)</t>
  </si>
  <si>
    <t xml:space="preserve">Output cell </t>
  </si>
  <si>
    <t>exit</t>
  </si>
  <si>
    <t>multiple</t>
  </si>
  <si>
    <t>End</t>
  </si>
  <si>
    <t>Date of net debt and diluted shares:</t>
  </si>
  <si>
    <t>Online Training:</t>
  </si>
  <si>
    <t>Training The Street's online training delivers the same high-powered materials</t>
  </si>
  <si>
    <t xml:space="preserve"> ● Corporate Valuation</t>
  </si>
  <si>
    <t xml:space="preserve">and instruction style featured at live seminars in an innovative combination of </t>
  </si>
  <si>
    <t xml:space="preserve">video and dynamic Excel modeling drills. Our content is designed to equip or </t>
  </si>
  <si>
    <r>
      <t xml:space="preserve">Tel: +1 (800) 887-1320 </t>
    </r>
    <r>
      <rPr>
        <sz val="8"/>
        <rFont val="Arial"/>
        <family val="2"/>
      </rPr>
      <t>(in the United States)</t>
    </r>
  </si>
  <si>
    <t xml:space="preserve">enhance your corporate valuation and financial modeling skills to best prepare </t>
  </si>
  <si>
    <r>
      <t xml:space="preserve">      +1 (704) 927-9688 </t>
    </r>
    <r>
      <rPr>
        <sz val="8"/>
        <rFont val="Arial"/>
        <family val="2"/>
      </rPr>
      <t xml:space="preserve">(outside the United States) </t>
    </r>
  </si>
  <si>
    <t xml:space="preserve">you for an interview, a new profession or a specific job function.  </t>
  </si>
  <si>
    <t xml:space="preserve"> ● LBO Modeling </t>
  </si>
  <si>
    <r>
      <t xml:space="preserve">Email:  </t>
    </r>
    <r>
      <rPr>
        <u/>
        <sz val="10"/>
        <color indexed="12"/>
        <rFont val="Arial"/>
        <family val="2"/>
      </rPr>
      <t xml:space="preserve">info@trainingthestreet.com </t>
    </r>
  </si>
  <si>
    <t xml:space="preserve">Live Training: </t>
  </si>
  <si>
    <t xml:space="preserve">professionals, students and prospective new hires.  </t>
  </si>
  <si>
    <t xml:space="preserve">Do you want us to send you our latest updates? </t>
  </si>
  <si>
    <t>http://www.trainingthestreet.com/</t>
  </si>
  <si>
    <t>http://trainingthestreet.com/public_courses/course-calendar/</t>
  </si>
  <si>
    <t>http://trainingthestreet.com/macros/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</si>
</sst>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7">
    <numFmt numFmtId="5" formatCode="&quot;$&quot;#,##0_);\(&quot;$&quot;#,##0\)"/>
    <numFmt numFmtId="7" formatCode="&quot;$&quot;#,##0.00_);\(&quot;$&quot;#,##0.00\)"/>
    <numFmt numFmtId="8" formatCode="&quot;$&quot;#,##0.00_);[Red]\(&quot;$&quot;#,##0.00\)"/>
    <numFmt numFmtId="164" formatCode="&quot;$&quot;#,##0.0_);\(&quot;$&quot;#,##0.0\)"/>
    <numFmt numFmtId="165" formatCode="0.0%_);\(0.0%\)"/>
    <numFmt numFmtId="166" formatCode="#,##0.0_);\(#,##0.0\)"/>
    <numFmt numFmtId="167" formatCode="#,##0.000_);\(#,##0.000\)"/>
    <numFmt numFmtId="168" formatCode="#0.0\x"/>
    <numFmt numFmtId="169" formatCode="#0.0%_);\(#0.0%\)"/>
    <numFmt numFmtId="170" formatCode="0.00%_);\(0.00%\)"/>
    <numFmt numFmtId="171" formatCode="#0.00%_);\(#0.00%\)"/>
    <numFmt numFmtId="172" formatCode="0_);\(0\)"/>
    <numFmt numFmtId="173" formatCode=";;;"/>
    <numFmt numFmtId="174" formatCode="#,##0.0%_);\(#,##0.0%\)"/>
    <numFmt numFmtId="175" formatCode="0\)"/>
    <numFmt numFmtId="176" formatCode="#,##0.0\x_)"/>
    <numFmt numFmtId="177" formatCode="#,##0.00%_);\(#,##0.00%\)"/>
    <numFmt numFmtId="178" formatCode="&quot;$&quot;#,##0.000_);\(&quot;$&quot;#,##0.000\)"/>
    <numFmt numFmtId="179" formatCode="#,##0.0000_);\(#,##0.0000\)"/>
    <numFmt numFmtId="180" formatCode="#,##0.0\x"/>
    <numFmt numFmtId="181" formatCode="&quot;$&quot;#,##0.0"/>
    <numFmt numFmtId="182" formatCode="#,##0.0"/>
    <numFmt numFmtId="183" formatCode="&quot;$&quot;#,##0.0000_);\(&quot;$&quot;#,##0.0000\)"/>
    <numFmt numFmtId="184" formatCode="#,##0.000"/>
    <numFmt numFmtId="185" formatCode="&quot;$&quot;#,##0.0_);[Red]\(&quot;$&quot;#,##0.0\)"/>
    <numFmt numFmtId="186" formatCode="0.0\ &quot;bps&quot;"/>
    <numFmt numFmtId="187" formatCode="#0.00\x"/>
  </numFmts>
  <fonts count="94">
    <font>
      <sz val="10"/>
      <name val="Arial"/>
    </font>
    <font>
      <sz val="10"/>
      <name val="Arial"/>
      <family val="2"/>
    </font>
    <font>
      <b/>
      <sz val="14"/>
      <color indexed="8"/>
      <name val="Arial"/>
      <family val="2"/>
    </font>
    <font>
      <sz val="6"/>
      <name val="Arial"/>
      <family val="2"/>
    </font>
    <font>
      <i/>
      <sz val="10"/>
      <name val="Arial"/>
      <family val="2"/>
    </font>
    <font>
      <u/>
      <sz val="10"/>
      <color indexed="12"/>
      <name val="Arial"/>
      <family val="2"/>
    </font>
    <font>
      <u/>
      <sz val="10"/>
      <name val="Arial"/>
      <family val="2"/>
    </font>
    <font>
      <sz val="10"/>
      <color indexed="12"/>
      <name val="Arial"/>
      <family val="2"/>
    </font>
    <font>
      <b/>
      <sz val="10"/>
      <name val="Arial"/>
      <family val="2"/>
    </font>
    <font>
      <sz val="8"/>
      <name val="Arial"/>
      <family val="2"/>
    </font>
    <font>
      <i/>
      <sz val="8"/>
      <name val="Arial"/>
      <family val="2"/>
    </font>
    <font>
      <b/>
      <sz val="14"/>
      <name val="Arial"/>
      <family val="2"/>
    </font>
    <font>
      <sz val="10"/>
      <color indexed="8"/>
      <name val="Arial"/>
      <family val="2"/>
    </font>
    <font>
      <sz val="10"/>
      <name val="Arial"/>
      <family val="2"/>
    </font>
    <font>
      <b/>
      <sz val="10"/>
      <color indexed="8"/>
      <name val="Arial"/>
      <family val="2"/>
    </font>
    <font>
      <sz val="10"/>
      <color indexed="10"/>
      <name val="Arial"/>
      <family val="2"/>
    </font>
    <font>
      <sz val="10"/>
      <color indexed="17"/>
      <name val="Arial"/>
      <family val="2"/>
    </font>
    <font>
      <sz val="8"/>
      <name val="Arial"/>
      <family val="2"/>
    </font>
    <font>
      <u/>
      <sz val="10"/>
      <color indexed="17"/>
      <name val="Arial"/>
      <family val="2"/>
    </font>
    <font>
      <b/>
      <u/>
      <sz val="10"/>
      <name val="Arial"/>
      <family val="2"/>
    </font>
    <font>
      <b/>
      <sz val="10"/>
      <color indexed="10"/>
      <name val="Arial"/>
      <family val="2"/>
    </font>
    <font>
      <u/>
      <sz val="10"/>
      <name val="Arial"/>
      <family val="2"/>
    </font>
    <font>
      <sz val="12"/>
      <name val="Arial"/>
      <family val="2"/>
    </font>
    <font>
      <sz val="12"/>
      <name val="Wingdings 2"/>
      <family val="1"/>
    </font>
    <font>
      <sz val="12"/>
      <color indexed="12"/>
      <name val="Arial"/>
      <family val="2"/>
    </font>
    <font>
      <sz val="12"/>
      <name val="Arial"/>
      <family val="2"/>
    </font>
    <font>
      <sz val="12"/>
      <color indexed="8"/>
      <name val="Arial"/>
      <family val="2"/>
    </font>
    <font>
      <sz val="12"/>
      <color indexed="10"/>
      <name val="Arial"/>
      <family val="2"/>
    </font>
    <font>
      <sz val="10"/>
      <color indexed="10"/>
      <name val="Arial"/>
      <family val="2"/>
    </font>
    <font>
      <sz val="10"/>
      <color indexed="23"/>
      <name val="Wingdings"/>
      <charset val="2"/>
    </font>
    <font>
      <sz val="10"/>
      <color indexed="23"/>
      <name val="Arial"/>
      <family val="2"/>
    </font>
    <font>
      <b/>
      <sz val="10"/>
      <color indexed="23"/>
      <name val="Arial"/>
      <family val="2"/>
    </font>
    <font>
      <sz val="7"/>
      <color indexed="10"/>
      <name val="Arial"/>
      <family val="2"/>
    </font>
    <font>
      <sz val="8"/>
      <color indexed="8"/>
      <name val="Arial"/>
      <family val="2"/>
    </font>
    <font>
      <sz val="7"/>
      <color indexed="10"/>
      <name val="Arial"/>
      <family val="2"/>
    </font>
    <font>
      <b/>
      <sz val="8"/>
      <color indexed="81"/>
      <name val="Tahoma"/>
      <family val="2"/>
    </font>
    <font>
      <sz val="8"/>
      <color indexed="81"/>
      <name val="Tahoma"/>
      <family val="2"/>
    </font>
    <font>
      <b/>
      <u/>
      <sz val="12"/>
      <name val="Arial"/>
      <family val="2"/>
    </font>
    <font>
      <i/>
      <sz val="10"/>
      <color indexed="10"/>
      <name val="Arial"/>
      <family val="2"/>
    </font>
    <font>
      <b/>
      <sz val="10"/>
      <color indexed="9"/>
      <name val="Arial"/>
      <family val="2"/>
    </font>
    <font>
      <i/>
      <sz val="10"/>
      <color indexed="23"/>
      <name val="Arial"/>
      <family val="2"/>
    </font>
    <font>
      <i/>
      <sz val="10"/>
      <color indexed="55"/>
      <name val="Arial"/>
      <family val="2"/>
    </font>
    <font>
      <b/>
      <sz val="10"/>
      <name val="Arial"/>
      <family val="2"/>
    </font>
    <font>
      <sz val="10"/>
      <name val="Arial"/>
      <family val="2"/>
    </font>
    <font>
      <i/>
      <sz val="10"/>
      <color indexed="17"/>
      <name val="Arial"/>
      <family val="2"/>
    </font>
    <font>
      <i/>
      <sz val="10"/>
      <color indexed="8"/>
      <name val="Arial"/>
      <family val="2"/>
    </font>
    <font>
      <b/>
      <i/>
      <sz val="10"/>
      <color indexed="23"/>
      <name val="Arial"/>
      <family val="2"/>
    </font>
    <font>
      <sz val="10"/>
      <color indexed="17"/>
      <name val="Arial"/>
      <family val="2"/>
    </font>
    <font>
      <b/>
      <i/>
      <sz val="10"/>
      <name val="Arial"/>
      <family val="2"/>
    </font>
    <font>
      <sz val="10"/>
      <color indexed="8"/>
      <name val="Arial"/>
      <family val="2"/>
    </font>
    <font>
      <b/>
      <sz val="10"/>
      <color indexed="55"/>
      <name val="Arial"/>
      <family val="2"/>
    </font>
    <font>
      <sz val="10"/>
      <color indexed="55"/>
      <name val="Arial"/>
      <family val="2"/>
    </font>
    <font>
      <u/>
      <sz val="10"/>
      <name val="Arial"/>
      <family val="2"/>
    </font>
    <font>
      <i/>
      <sz val="8"/>
      <color indexed="10"/>
      <name val="Arial"/>
      <family val="2"/>
    </font>
    <font>
      <b/>
      <sz val="10"/>
      <color indexed="22"/>
      <name val="Arial"/>
      <family val="2"/>
    </font>
    <font>
      <b/>
      <sz val="10"/>
      <color indexed="12"/>
      <name val="Arial"/>
      <family val="2"/>
    </font>
    <font>
      <sz val="10"/>
      <color indexed="10"/>
      <name val="Arial"/>
      <family val="2"/>
    </font>
    <font>
      <b/>
      <u/>
      <sz val="10"/>
      <color indexed="8"/>
      <name val="Arial"/>
      <family val="2"/>
    </font>
    <font>
      <u/>
      <sz val="10"/>
      <color indexed="8"/>
      <name val="Arial"/>
      <family val="2"/>
    </font>
    <font>
      <b/>
      <sz val="12"/>
      <name val="Arial"/>
      <family val="2"/>
    </font>
    <font>
      <sz val="1"/>
      <name val="Arial"/>
      <family val="2"/>
    </font>
    <font>
      <sz val="8"/>
      <color indexed="12"/>
      <name val="Arial"/>
      <family val="2"/>
    </font>
    <font>
      <sz val="10"/>
      <name val="Arial"/>
      <family val="2"/>
    </font>
    <font>
      <i/>
      <sz val="8"/>
      <color indexed="8"/>
      <name val="Arial"/>
      <family val="2"/>
    </font>
    <font>
      <sz val="8"/>
      <name val="Arial"/>
      <family val="2"/>
    </font>
    <font>
      <i/>
      <sz val="10"/>
      <color indexed="12"/>
      <name val="Arial"/>
      <family val="2"/>
    </font>
    <font>
      <i/>
      <sz val="8"/>
      <color indexed="81"/>
      <name val="Tahoma"/>
      <family val="2"/>
    </font>
    <font>
      <b/>
      <sz val="9"/>
      <color indexed="81"/>
      <name val="Tahoma"/>
      <family val="2"/>
    </font>
    <font>
      <sz val="9"/>
      <color indexed="81"/>
      <name val="Tahoma"/>
      <family val="2"/>
    </font>
    <font>
      <b/>
      <sz val="8"/>
      <color indexed="10"/>
      <name val="Arial"/>
      <family val="2"/>
    </font>
    <font>
      <u/>
      <sz val="10"/>
      <color indexed="8"/>
      <name val="Arial"/>
      <family val="2"/>
    </font>
    <font>
      <u/>
      <sz val="10"/>
      <color indexed="17"/>
      <name val="Arial"/>
      <family val="2"/>
    </font>
    <font>
      <sz val="10"/>
      <color indexed="12"/>
      <name val="Arial"/>
      <family val="2"/>
    </font>
    <font>
      <sz val="10"/>
      <color indexed="17"/>
      <name val="Arial"/>
      <family val="2"/>
    </font>
    <font>
      <i/>
      <sz val="10"/>
      <color indexed="12"/>
      <name val="Arial"/>
      <family val="2"/>
    </font>
    <font>
      <i/>
      <sz val="10"/>
      <color indexed="17"/>
      <name val="Arial"/>
      <family val="2"/>
    </font>
    <font>
      <sz val="10"/>
      <color indexed="12"/>
      <name val="Arial"/>
      <family val="2"/>
    </font>
    <font>
      <b/>
      <i/>
      <sz val="10"/>
      <color indexed="22"/>
      <name val="Arial"/>
      <family val="2"/>
    </font>
    <font>
      <b/>
      <i/>
      <sz val="10"/>
      <color indexed="10"/>
      <name val="Arial"/>
      <family val="2"/>
    </font>
    <font>
      <sz val="10"/>
      <color rgb="FF008000"/>
      <name val="Arial"/>
      <family val="2"/>
    </font>
    <font>
      <b/>
      <sz val="10"/>
      <color rgb="FFFF0000"/>
      <name val="Arial"/>
      <family val="2"/>
    </font>
    <font>
      <b/>
      <i/>
      <sz val="10"/>
      <color rgb="FFFF0000"/>
      <name val="Arial"/>
      <family val="2"/>
    </font>
    <font>
      <sz val="10"/>
      <color rgb="FF0000FF"/>
      <name val="Arial"/>
      <family val="2"/>
    </font>
    <font>
      <sz val="10"/>
      <color rgb="FFFF0000"/>
      <name val="Arial"/>
      <family val="2"/>
    </font>
    <font>
      <sz val="7"/>
      <name val="Arial"/>
      <family val="2"/>
    </font>
    <font>
      <b/>
      <sz val="10"/>
      <color rgb="FFC0C0C0"/>
      <name val="Arial"/>
      <family val="2"/>
    </font>
    <font>
      <u/>
      <sz val="10"/>
      <color theme="11"/>
      <name val="Arial"/>
      <family val="2"/>
    </font>
    <font>
      <b/>
      <sz val="8"/>
      <name val="Arial"/>
      <family val="2"/>
    </font>
    <font>
      <b/>
      <sz val="9.5"/>
      <name val="Arial"/>
      <family val="2"/>
    </font>
    <font>
      <sz val="8"/>
      <color indexed="23"/>
      <name val="Arial"/>
      <family val="2"/>
    </font>
    <font>
      <b/>
      <u/>
      <sz val="14"/>
      <name val="Arial"/>
      <family val="2"/>
    </font>
    <font>
      <b/>
      <i/>
      <u/>
      <sz val="10"/>
      <color rgb="FFFF0000"/>
      <name val="Arial"/>
      <family val="2"/>
    </font>
    <font>
      <u/>
      <sz val="10"/>
      <color theme="10"/>
      <name val="Arial"/>
      <family val="2"/>
    </font>
    <font>
      <b/>
      <u/>
      <sz val="10"/>
      <color indexed="58"/>
      <name val="Arial"/>
      <family val="2"/>
    </font>
  </fonts>
  <fills count="6">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7"/>
        <bgColor indexed="64"/>
      </patternFill>
    </fill>
    <fill>
      <patternFill patternType="solid">
        <fgColor rgb="FFFFFF99"/>
        <bgColor indexed="64"/>
      </patternFill>
    </fill>
  </fills>
  <borders count="34">
    <border>
      <left/>
      <right/>
      <top/>
      <bottom/>
      <diagonal/>
    </border>
    <border>
      <left/>
      <right/>
      <top style="medium">
        <color auto="1"/>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bottom style="medium">
        <color auto="1"/>
      </bottom>
      <diagonal/>
    </border>
    <border>
      <left/>
      <right style="thin">
        <color auto="1"/>
      </right>
      <top/>
      <bottom/>
      <diagonal/>
    </border>
    <border>
      <left/>
      <right/>
      <top style="hair">
        <color indexed="23"/>
      </top>
      <bottom/>
      <diagonal/>
    </border>
    <border>
      <left/>
      <right/>
      <top/>
      <bottom style="thin">
        <color auto="1"/>
      </bottom>
      <diagonal/>
    </border>
    <border>
      <left/>
      <right style="thin">
        <color auto="1"/>
      </right>
      <top/>
      <bottom style="thin">
        <color auto="1"/>
      </bottom>
      <diagonal/>
    </border>
    <border>
      <left/>
      <right/>
      <top style="thin">
        <color auto="1"/>
      </top>
      <bottom/>
      <diagonal/>
    </border>
    <border>
      <left/>
      <right style="thin">
        <color auto="1"/>
      </right>
      <top style="thin">
        <color auto="1"/>
      </top>
      <bottom/>
      <diagonal/>
    </border>
    <border>
      <left/>
      <right/>
      <top style="hair">
        <color auto="1"/>
      </top>
      <bottom/>
      <diagonal/>
    </border>
    <border>
      <left style="thin">
        <color auto="1"/>
      </left>
      <right/>
      <top style="thin">
        <color auto="1"/>
      </top>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indexed="23"/>
      </left>
      <right style="thin">
        <color indexed="23"/>
      </right>
      <top style="thin">
        <color indexed="23"/>
      </top>
      <bottom/>
      <diagonal/>
    </border>
    <border>
      <left style="thin">
        <color indexed="23"/>
      </left>
      <right style="thin">
        <color indexed="23"/>
      </right>
      <top/>
      <bottom/>
      <diagonal/>
    </border>
    <border>
      <left style="thin">
        <color indexed="23"/>
      </left>
      <right style="thin">
        <color indexed="23"/>
      </right>
      <top/>
      <bottom style="thin">
        <color indexed="23"/>
      </bottom>
      <diagonal/>
    </border>
    <border>
      <left/>
      <right style="thin">
        <color auto="1"/>
      </right>
      <top style="hair">
        <color indexed="23"/>
      </top>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diagonal/>
    </border>
    <border>
      <left/>
      <right style="thin">
        <color indexed="23"/>
      </right>
      <top/>
      <bottom/>
      <diagonal/>
    </border>
    <border>
      <left/>
      <right style="thin">
        <color auto="1"/>
      </right>
      <top style="hair">
        <color auto="1"/>
      </top>
      <bottom/>
      <diagonal/>
    </border>
    <border>
      <left/>
      <right/>
      <top/>
      <bottom style="thin">
        <color indexed="8"/>
      </bottom>
      <diagonal/>
    </border>
    <border>
      <left style="thin">
        <color indexed="23"/>
      </left>
      <right/>
      <top/>
      <bottom style="thin">
        <color indexed="23"/>
      </bottom>
      <diagonal/>
    </border>
    <border>
      <left/>
      <right/>
      <top/>
      <bottom style="thin">
        <color indexed="23"/>
      </bottom>
      <diagonal/>
    </border>
    <border>
      <left/>
      <right style="thin">
        <color indexed="23"/>
      </right>
      <top/>
      <bottom style="thin">
        <color indexed="23"/>
      </bottom>
      <diagonal/>
    </border>
  </borders>
  <cellStyleXfs count="5">
    <xf numFmtId="0" fontId="0" fillId="0" borderId="0"/>
    <xf numFmtId="0" fontId="32" fillId="0" borderId="0"/>
    <xf numFmtId="0" fontId="86" fillId="0" borderId="0" applyNumberFormat="0" applyFill="0" applyBorder="0" applyAlignment="0" applyProtection="0"/>
    <xf numFmtId="0" fontId="86" fillId="0" borderId="0" applyNumberFormat="0" applyFill="0" applyBorder="0" applyAlignment="0" applyProtection="0"/>
    <xf numFmtId="0" fontId="92" fillId="0" borderId="0" applyNumberFormat="0" applyFill="0" applyBorder="0" applyAlignment="0" applyProtection="0"/>
  </cellStyleXfs>
  <cellXfs count="844">
    <xf numFmtId="0" fontId="0" fillId="0" borderId="0" xfId="0"/>
    <xf numFmtId="0" fontId="2" fillId="0" borderId="0" xfId="0" applyFont="1"/>
    <xf numFmtId="0" fontId="4" fillId="0" borderId="1" xfId="0" applyFont="1" applyBorder="1"/>
    <xf numFmtId="0" fontId="0" fillId="0" borderId="1" xfId="0" applyFont="1" applyBorder="1"/>
    <xf numFmtId="0" fontId="6" fillId="0" borderId="0" xfId="0" applyFont="1"/>
    <xf numFmtId="164" fontId="0" fillId="0" borderId="0" xfId="0" applyNumberFormat="1" applyFont="1"/>
    <xf numFmtId="166" fontId="0" fillId="0" borderId="0" xfId="0" applyNumberFormat="1" applyFont="1"/>
    <xf numFmtId="0" fontId="8" fillId="0" borderId="0" xfId="0" applyFont="1"/>
    <xf numFmtId="0" fontId="10" fillId="0" borderId="0" xfId="0" applyFont="1"/>
    <xf numFmtId="22" fontId="3" fillId="0" borderId="0" xfId="0" applyNumberFormat="1" applyFont="1" applyBorder="1" applyAlignment="1">
      <alignment horizontal="center"/>
    </xf>
    <xf numFmtId="0" fontId="5" fillId="0" borderId="0" xfId="0" applyFont="1" applyBorder="1"/>
    <xf numFmtId="0" fontId="6" fillId="0" borderId="0" xfId="0" applyFont="1" applyBorder="1"/>
    <xf numFmtId="0" fontId="0" fillId="0" borderId="0" xfId="0" applyFont="1" applyBorder="1"/>
    <xf numFmtId="0" fontId="4" fillId="0" borderId="0" xfId="0" applyFont="1"/>
    <xf numFmtId="0" fontId="11" fillId="0" borderId="0" xfId="0" applyFont="1"/>
    <xf numFmtId="164" fontId="0" fillId="0" borderId="0" xfId="0" applyNumberFormat="1" applyFont="1" applyBorder="1"/>
    <xf numFmtId="0" fontId="13" fillId="0" borderId="0" xfId="0" applyFont="1"/>
    <xf numFmtId="0" fontId="12" fillId="0" borderId="0" xfId="0" applyFont="1"/>
    <xf numFmtId="0" fontId="0" fillId="0" borderId="2" xfId="0" applyFont="1" applyBorder="1" applyAlignment="1">
      <alignment horizontal="centerContinuous"/>
    </xf>
    <xf numFmtId="0" fontId="0" fillId="0" borderId="0" xfId="0" applyFont="1" applyBorder="1" applyAlignment="1">
      <alignment horizontal="centerContinuous"/>
    </xf>
    <xf numFmtId="166" fontId="7" fillId="0" borderId="0" xfId="0" applyNumberFormat="1" applyFont="1" applyBorder="1"/>
    <xf numFmtId="166" fontId="0" fillId="0" borderId="0" xfId="0" applyNumberFormat="1" applyFont="1" applyBorder="1"/>
    <xf numFmtId="164" fontId="8" fillId="0" borderId="0" xfId="0" applyNumberFormat="1" applyFont="1"/>
    <xf numFmtId="166" fontId="13" fillId="0" borderId="0" xfId="0" applyNumberFormat="1" applyFont="1"/>
    <xf numFmtId="164" fontId="16" fillId="0" borderId="0" xfId="0" applyNumberFormat="1" applyFont="1"/>
    <xf numFmtId="166" fontId="16" fillId="0" borderId="0" xfId="0" applyNumberFormat="1" applyFont="1"/>
    <xf numFmtId="164" fontId="16" fillId="0" borderId="0" xfId="0" applyNumberFormat="1" applyFont="1" applyBorder="1"/>
    <xf numFmtId="0" fontId="13" fillId="0" borderId="0" xfId="0" applyFont="1" applyBorder="1"/>
    <xf numFmtId="0" fontId="0" fillId="0" borderId="0" xfId="0" applyFont="1" applyFill="1"/>
    <xf numFmtId="0" fontId="0" fillId="0" borderId="0" xfId="0" applyFont="1" applyFill="1" applyBorder="1"/>
    <xf numFmtId="0" fontId="8" fillId="0" borderId="0" xfId="0" applyFont="1" applyFill="1"/>
    <xf numFmtId="166" fontId="0" fillId="2" borderId="0" xfId="0" applyNumberFormat="1" applyFont="1" applyFill="1"/>
    <xf numFmtId="166" fontId="8" fillId="2" borderId="0" xfId="0" applyNumberFormat="1" applyFont="1" applyFill="1" applyAlignment="1">
      <alignment horizontal="centerContinuous"/>
    </xf>
    <xf numFmtId="0" fontId="0" fillId="2" borderId="0" xfId="0" applyFont="1" applyFill="1"/>
    <xf numFmtId="0" fontId="22" fillId="0" borderId="0" xfId="0" applyFont="1"/>
    <xf numFmtId="0" fontId="22" fillId="0" borderId="3" xfId="0" applyFont="1" applyBorder="1"/>
    <xf numFmtId="0" fontId="22" fillId="0" borderId="4" xfId="0" applyFont="1" applyBorder="1"/>
    <xf numFmtId="0" fontId="23" fillId="0" borderId="0" xfId="0" applyFont="1"/>
    <xf numFmtId="0" fontId="24" fillId="0" borderId="0" xfId="0" applyFont="1"/>
    <xf numFmtId="0" fontId="25" fillId="0" borderId="0" xfId="0" applyFont="1"/>
    <xf numFmtId="0" fontId="24" fillId="0" borderId="5" xfId="0" applyFont="1" applyBorder="1"/>
    <xf numFmtId="0" fontId="20" fillId="0" borderId="0" xfId="0" applyFont="1"/>
    <xf numFmtId="0" fontId="26" fillId="0" borderId="0" xfId="0" applyFont="1"/>
    <xf numFmtId="0" fontId="27" fillId="0" borderId="0" xfId="0" applyFont="1"/>
    <xf numFmtId="0" fontId="2" fillId="0" borderId="0" xfId="0" applyFont="1" applyFill="1"/>
    <xf numFmtId="22" fontId="3" fillId="0" borderId="6" xfId="0" applyNumberFormat="1" applyFont="1" applyFill="1" applyBorder="1" applyAlignment="1">
      <alignment horizontal="center"/>
    </xf>
    <xf numFmtId="0" fontId="4" fillId="0" borderId="1" xfId="0" applyFont="1" applyFill="1" applyBorder="1"/>
    <xf numFmtId="0" fontId="0" fillId="0" borderId="1" xfId="0" applyFont="1" applyFill="1" applyBorder="1"/>
    <xf numFmtId="0" fontId="0" fillId="0" borderId="0" xfId="0" quotePrefix="1" applyFont="1" applyFill="1" applyAlignment="1">
      <alignment horizontal="center"/>
    </xf>
    <xf numFmtId="0" fontId="6" fillId="0" borderId="0" xfId="0" applyFont="1" applyFill="1"/>
    <xf numFmtId="0" fontId="12" fillId="0" borderId="0" xfId="0" applyFont="1" applyFill="1"/>
    <xf numFmtId="166" fontId="7" fillId="0" borderId="0" xfId="0" applyNumberFormat="1" applyFont="1" applyFill="1"/>
    <xf numFmtId="166" fontId="0" fillId="0" borderId="0" xfId="0" applyNumberFormat="1" applyFont="1" applyFill="1"/>
    <xf numFmtId="0" fontId="20" fillId="0" borderId="0" xfId="0" applyFont="1" applyFill="1"/>
    <xf numFmtId="0" fontId="21" fillId="0" borderId="0" xfId="0" applyFont="1" applyFill="1" applyAlignment="1">
      <alignment horizontal="left"/>
    </xf>
    <xf numFmtId="166" fontId="16" fillId="0" borderId="0" xfId="0" applyNumberFormat="1" applyFont="1" applyFill="1"/>
    <xf numFmtId="166" fontId="0" fillId="0" borderId="0" xfId="0" applyNumberFormat="1" applyFont="1" applyFill="1" applyBorder="1"/>
    <xf numFmtId="7" fontId="8" fillId="0" borderId="0" xfId="0" applyNumberFormat="1" applyFont="1" applyFill="1"/>
    <xf numFmtId="165" fontId="6" fillId="0" borderId="0" xfId="0" applyNumberFormat="1" applyFont="1" applyFill="1"/>
    <xf numFmtId="169" fontId="0" fillId="0" borderId="0" xfId="0" applyNumberFormat="1" applyFont="1" applyFill="1"/>
    <xf numFmtId="0" fontId="0" fillId="0" borderId="0" xfId="0" applyFont="1" applyFill="1" applyAlignment="1">
      <alignment horizontal="center"/>
    </xf>
    <xf numFmtId="0" fontId="26" fillId="0" borderId="0" xfId="0" applyFont="1" applyFill="1"/>
    <xf numFmtId="166" fontId="7" fillId="0" borderId="0" xfId="0" applyNumberFormat="1" applyFont="1" applyFill="1" applyBorder="1"/>
    <xf numFmtId="0" fontId="13" fillId="0" borderId="0" xfId="0" applyFont="1" applyFill="1"/>
    <xf numFmtId="0" fontId="28" fillId="0" borderId="0" xfId="0" applyFont="1"/>
    <xf numFmtId="165" fontId="7" fillId="0" borderId="0" xfId="0" applyNumberFormat="1" applyFont="1" applyFill="1" applyBorder="1"/>
    <xf numFmtId="0" fontId="29" fillId="0" borderId="0" xfId="0" applyFont="1"/>
    <xf numFmtId="165" fontId="0" fillId="0" borderId="0" xfId="0" applyNumberFormat="1" applyFont="1" applyFill="1" applyBorder="1"/>
    <xf numFmtId="0" fontId="32" fillId="0" borderId="0" xfId="0" applyFont="1" applyFill="1"/>
    <xf numFmtId="0" fontId="32" fillId="0" borderId="0" xfId="0" applyFont="1"/>
    <xf numFmtId="0" fontId="19" fillId="0" borderId="0" xfId="0" applyFont="1"/>
    <xf numFmtId="0" fontId="19" fillId="0" borderId="0" xfId="0" applyFont="1" applyAlignment="1">
      <alignment horizontal="right"/>
    </xf>
    <xf numFmtId="0" fontId="0" fillId="2" borderId="0" xfId="0" applyFont="1" applyFill="1" applyAlignment="1">
      <alignment horizontal="right"/>
    </xf>
    <xf numFmtId="0" fontId="1" fillId="0" borderId="0" xfId="0" applyFont="1"/>
    <xf numFmtId="0" fontId="1" fillId="2" borderId="0" xfId="0" applyFont="1" applyFill="1"/>
    <xf numFmtId="18" fontId="0" fillId="0" borderId="0" xfId="0" applyNumberFormat="1" applyFont="1"/>
    <xf numFmtId="166" fontId="15" fillId="0" borderId="0" xfId="0" applyNumberFormat="1" applyFont="1" applyBorder="1"/>
    <xf numFmtId="0" fontId="34" fillId="0" borderId="0" xfId="0" applyFont="1"/>
    <xf numFmtId="166" fontId="1" fillId="0" borderId="0" xfId="0" applyNumberFormat="1" applyFont="1" applyFill="1"/>
    <xf numFmtId="166" fontId="1" fillId="0" borderId="0" xfId="0" applyNumberFormat="1" applyFont="1"/>
    <xf numFmtId="0" fontId="17" fillId="0" borderId="0" xfId="0" applyFont="1"/>
    <xf numFmtId="0" fontId="8" fillId="0" borderId="0" xfId="0" applyFont="1" applyAlignment="1">
      <alignment horizontal="centerContinuous"/>
    </xf>
    <xf numFmtId="166" fontId="7" fillId="0" borderId="0" xfId="0" applyNumberFormat="1" applyFont="1"/>
    <xf numFmtId="164" fontId="7" fillId="0" borderId="0" xfId="0" applyNumberFormat="1" applyFont="1"/>
    <xf numFmtId="39" fontId="0" fillId="0" borderId="1" xfId="0" applyNumberFormat="1" applyFont="1" applyFill="1" applyBorder="1"/>
    <xf numFmtId="175" fontId="33" fillId="0" borderId="0" xfId="0" quotePrefix="1" applyNumberFormat="1" applyFont="1" applyFill="1" applyBorder="1"/>
    <xf numFmtId="172" fontId="6" fillId="0" borderId="0" xfId="0" applyNumberFormat="1" applyFont="1"/>
    <xf numFmtId="0" fontId="37" fillId="0" borderId="0" xfId="0" applyFont="1" applyFill="1" applyAlignment="1">
      <alignment horizontal="left"/>
    </xf>
    <xf numFmtId="0" fontId="6" fillId="0" borderId="0" xfId="0" applyFont="1" applyFill="1" applyAlignment="1">
      <alignment horizontal="center"/>
    </xf>
    <xf numFmtId="8" fontId="0" fillId="0" borderId="0" xfId="0" applyNumberFormat="1" applyFont="1" applyFill="1"/>
    <xf numFmtId="0" fontId="8" fillId="0" borderId="0" xfId="0" applyFont="1" applyFill="1" applyAlignment="1">
      <alignment horizontal="right"/>
    </xf>
    <xf numFmtId="170" fontId="0" fillId="0" borderId="0" xfId="0" applyNumberFormat="1" applyFont="1" applyFill="1"/>
    <xf numFmtId="0" fontId="0" fillId="0" borderId="0" xfId="0" applyFont="1" applyFill="1" applyAlignment="1">
      <alignment horizontal="right"/>
    </xf>
    <xf numFmtId="0" fontId="8" fillId="0" borderId="0" xfId="0" applyFont="1" applyFill="1" applyAlignment="1">
      <alignment horizontal="centerContinuous"/>
    </xf>
    <xf numFmtId="0" fontId="0" fillId="0" borderId="0" xfId="0" applyFont="1" applyFill="1" applyAlignment="1">
      <alignment horizontal="centerContinuous"/>
    </xf>
    <xf numFmtId="164" fontId="16" fillId="0" borderId="7" xfId="0" applyNumberFormat="1" applyFont="1" applyBorder="1"/>
    <xf numFmtId="0" fontId="8" fillId="0" borderId="0" xfId="0" applyNumberFormat="1" applyFont="1" applyAlignment="1">
      <alignment horizontal="centerContinuous"/>
    </xf>
    <xf numFmtId="166" fontId="7" fillId="0" borderId="7" xfId="0" applyNumberFormat="1" applyFont="1" applyBorder="1"/>
    <xf numFmtId="164" fontId="7" fillId="0" borderId="0" xfId="0" applyNumberFormat="1" applyFont="1" applyFill="1"/>
    <xf numFmtId="0" fontId="4" fillId="0" borderId="0" xfId="0" applyFont="1" applyBorder="1"/>
    <xf numFmtId="0" fontId="8" fillId="0" borderId="0" xfId="0" applyFont="1" applyBorder="1"/>
    <xf numFmtId="166" fontId="16" fillId="0" borderId="0" xfId="0" applyNumberFormat="1" applyFont="1" applyBorder="1"/>
    <xf numFmtId="164" fontId="8" fillId="0" borderId="0" xfId="0" applyNumberFormat="1" applyFont="1" applyBorder="1"/>
    <xf numFmtId="167" fontId="10" fillId="0" borderId="0" xfId="0" applyNumberFormat="1" applyFont="1" applyFill="1" applyAlignment="1">
      <alignment horizontal="right"/>
    </xf>
    <xf numFmtId="0" fontId="0" fillId="0" borderId="4" xfId="0" applyFont="1" applyBorder="1" applyAlignment="1">
      <alignment horizontal="centerContinuous"/>
    </xf>
    <xf numFmtId="166" fontId="16" fillId="0" borderId="7" xfId="0" applyNumberFormat="1" applyFont="1" applyBorder="1"/>
    <xf numFmtId="0" fontId="6" fillId="0" borderId="0" xfId="0" applyFont="1" applyAlignment="1">
      <alignment horizontal="center"/>
    </xf>
    <xf numFmtId="164" fontId="16" fillId="0" borderId="0" xfId="0" applyNumberFormat="1" applyFont="1" applyAlignment="1">
      <alignment horizontal="right"/>
    </xf>
    <xf numFmtId="174" fontId="16" fillId="0" borderId="0" xfId="0" applyNumberFormat="1" applyFont="1" applyAlignment="1">
      <alignment horizontal="right"/>
    </xf>
    <xf numFmtId="164" fontId="16" fillId="0" borderId="2" xfId="0" applyNumberFormat="1" applyFont="1" applyBorder="1" applyAlignment="1">
      <alignment horizontal="centerContinuous"/>
    </xf>
    <xf numFmtId="8" fontId="16" fillId="0" borderId="2" xfId="0" applyNumberFormat="1" applyFont="1" applyBorder="1" applyAlignment="1">
      <alignment horizontal="centerContinuous"/>
    </xf>
    <xf numFmtId="164" fontId="43" fillId="0" borderId="0" xfId="0" applyNumberFormat="1" applyFont="1"/>
    <xf numFmtId="0" fontId="43" fillId="0" borderId="0" xfId="0" applyFont="1"/>
    <xf numFmtId="166" fontId="12" fillId="0" borderId="0" xfId="0" applyNumberFormat="1" applyFont="1"/>
    <xf numFmtId="166" fontId="47" fillId="0" borderId="0" xfId="0" applyNumberFormat="1" applyFont="1" applyFill="1"/>
    <xf numFmtId="0" fontId="14" fillId="0" borderId="0" xfId="0" applyFont="1" applyFill="1"/>
    <xf numFmtId="174" fontId="8" fillId="0" borderId="0" xfId="0" applyNumberFormat="1" applyFont="1" applyFill="1"/>
    <xf numFmtId="0" fontId="48" fillId="0" borderId="0" xfId="0" applyFont="1" applyFill="1" applyAlignment="1"/>
    <xf numFmtId="0" fontId="48" fillId="0" borderId="0" xfId="0" applyFont="1" applyFill="1" applyAlignment="1">
      <alignment horizontal="left"/>
    </xf>
    <xf numFmtId="0" fontId="38" fillId="0" borderId="0" xfId="0" applyFont="1"/>
    <xf numFmtId="172" fontId="8" fillId="0" borderId="0" xfId="0" applyNumberFormat="1" applyFont="1" applyFill="1"/>
    <xf numFmtId="166" fontId="20" fillId="0" borderId="0" xfId="0" applyNumberFormat="1" applyFont="1" applyFill="1"/>
    <xf numFmtId="165" fontId="20" fillId="0" borderId="0" xfId="0" applyNumberFormat="1" applyFont="1" applyFill="1"/>
    <xf numFmtId="166" fontId="12" fillId="0" borderId="0" xfId="0" applyNumberFormat="1" applyFont="1" applyBorder="1"/>
    <xf numFmtId="0" fontId="49" fillId="0" borderId="0" xfId="0" applyFont="1" applyFill="1" applyBorder="1"/>
    <xf numFmtId="165" fontId="12" fillId="0" borderId="0" xfId="0" applyNumberFormat="1" applyFont="1" applyFill="1" applyBorder="1"/>
    <xf numFmtId="7" fontId="0" fillId="0" borderId="0" xfId="0" applyNumberFormat="1" applyFont="1" applyFill="1" applyAlignment="1">
      <alignment horizontal="right"/>
    </xf>
    <xf numFmtId="0" fontId="4" fillId="0" borderId="0" xfId="0" applyFont="1" applyFill="1"/>
    <xf numFmtId="7" fontId="46" fillId="0" borderId="0" xfId="0" applyNumberFormat="1" applyFont="1" applyFill="1" applyAlignment="1">
      <alignment horizontal="right"/>
    </xf>
    <xf numFmtId="166" fontId="12" fillId="0" borderId="0" xfId="0" applyNumberFormat="1" applyFont="1" applyFill="1" applyBorder="1"/>
    <xf numFmtId="179" fontId="7" fillId="0" borderId="0" xfId="0" applyNumberFormat="1" applyFont="1" applyBorder="1"/>
    <xf numFmtId="0" fontId="51" fillId="0" borderId="0" xfId="0" applyFont="1" applyFill="1"/>
    <xf numFmtId="0" fontId="8" fillId="0" borderId="0" xfId="0" applyNumberFormat="1" applyFont="1" applyFill="1" applyAlignment="1">
      <alignment horizontal="centerContinuous"/>
    </xf>
    <xf numFmtId="166" fontId="6" fillId="0" borderId="0" xfId="0" applyNumberFormat="1" applyFont="1" applyAlignment="1">
      <alignment horizontal="center"/>
    </xf>
    <xf numFmtId="169" fontId="0" fillId="0" borderId="0" xfId="0" applyNumberFormat="1" applyFont="1"/>
    <xf numFmtId="0" fontId="32" fillId="0" borderId="0" xfId="0" applyFont="1" applyProtection="1">
      <protection locked="0"/>
    </xf>
    <xf numFmtId="0" fontId="0" fillId="0" borderId="0" xfId="0" applyFont="1" applyProtection="1">
      <protection locked="0"/>
    </xf>
    <xf numFmtId="165" fontId="0" fillId="0" borderId="7" xfId="0" applyNumberFormat="1" applyFont="1" applyFill="1" applyBorder="1"/>
    <xf numFmtId="0" fontId="10" fillId="0" borderId="0" xfId="0" applyFont="1" applyFill="1"/>
    <xf numFmtId="0" fontId="0" fillId="0" borderId="0" xfId="0" applyFill="1" applyAlignment="1" applyProtection="1"/>
    <xf numFmtId="0" fontId="0" fillId="0" borderId="7" xfId="0" applyBorder="1"/>
    <xf numFmtId="0" fontId="0" fillId="0" borderId="0" xfId="0" applyBorder="1"/>
    <xf numFmtId="167" fontId="7" fillId="0" borderId="0" xfId="0" applyNumberFormat="1" applyFont="1" applyFill="1"/>
    <xf numFmtId="164" fontId="14" fillId="0" borderId="0" xfId="0" applyNumberFormat="1" applyFont="1"/>
    <xf numFmtId="166" fontId="15" fillId="0" borderId="0" xfId="0" applyNumberFormat="1" applyFont="1" applyFill="1" applyBorder="1"/>
    <xf numFmtId="0" fontId="13" fillId="0" borderId="0" xfId="0" applyFont="1" applyFill="1" applyBorder="1"/>
    <xf numFmtId="0" fontId="52" fillId="0" borderId="0" xfId="0" applyFont="1" applyFill="1" applyBorder="1" applyAlignment="1">
      <alignment horizontal="center"/>
    </xf>
    <xf numFmtId="174" fontId="1" fillId="0" borderId="0" xfId="0" applyNumberFormat="1" applyFont="1"/>
    <xf numFmtId="0" fontId="1" fillId="0" borderId="0" xfId="0" applyFont="1" applyAlignment="1">
      <alignment horizontal="right"/>
    </xf>
    <xf numFmtId="0" fontId="1" fillId="0" borderId="1" xfId="0" applyFont="1" applyBorder="1"/>
    <xf numFmtId="0" fontId="14" fillId="0" borderId="2" xfId="0" applyFont="1" applyFill="1" applyBorder="1" applyAlignment="1">
      <alignment horizontal="centerContinuous"/>
    </xf>
    <xf numFmtId="0" fontId="39" fillId="0" borderId="2" xfId="0" applyFont="1" applyFill="1" applyBorder="1" applyAlignment="1">
      <alignment horizontal="centerContinuous"/>
    </xf>
    <xf numFmtId="0" fontId="1" fillId="0" borderId="3" xfId="0" applyFont="1" applyBorder="1" applyAlignment="1">
      <alignment horizontal="centerContinuous"/>
    </xf>
    <xf numFmtId="0" fontId="1" fillId="0" borderId="4" xfId="0" applyFont="1" applyBorder="1" applyAlignment="1">
      <alignment horizontal="centerContinuous"/>
    </xf>
    <xf numFmtId="0" fontId="39" fillId="0" borderId="0" xfId="0" applyFont="1" applyFill="1" applyBorder="1"/>
    <xf numFmtId="0" fontId="19" fillId="0" borderId="0" xfId="0" applyFont="1" applyAlignment="1">
      <alignment horizontal="center"/>
    </xf>
    <xf numFmtId="0" fontId="19" fillId="0" borderId="0" xfId="0" applyFont="1" applyFill="1" applyBorder="1" applyAlignment="1">
      <alignment horizontal="center"/>
    </xf>
    <xf numFmtId="0" fontId="1" fillId="0" borderId="0" xfId="0" applyFont="1" applyBorder="1"/>
    <xf numFmtId="0" fontId="1" fillId="0" borderId="0" xfId="0" applyFont="1" applyFill="1" applyBorder="1"/>
    <xf numFmtId="174" fontId="1" fillId="0" borderId="0" xfId="0" applyNumberFormat="1" applyFont="1" applyFill="1" applyAlignment="1">
      <alignment horizontal="center"/>
    </xf>
    <xf numFmtId="174" fontId="4" fillId="0" borderId="0" xfId="0" applyNumberFormat="1" applyFont="1" applyBorder="1"/>
    <xf numFmtId="174" fontId="4" fillId="0" borderId="0" xfId="0" applyNumberFormat="1" applyFont="1" applyAlignment="1">
      <alignment horizontal="center"/>
    </xf>
    <xf numFmtId="0" fontId="1" fillId="0" borderId="0" xfId="0" applyFont="1" applyBorder="1" applyAlignment="1">
      <alignment horizontal="right"/>
    </xf>
    <xf numFmtId="174" fontId="1" fillId="0" borderId="0" xfId="0" applyNumberFormat="1" applyFont="1" applyAlignment="1">
      <alignment horizontal="center"/>
    </xf>
    <xf numFmtId="0" fontId="1" fillId="0" borderId="8" xfId="0" applyFont="1" applyBorder="1"/>
    <xf numFmtId="164" fontId="16" fillId="0" borderId="8" xfId="0" applyNumberFormat="1" applyFont="1" applyBorder="1"/>
    <xf numFmtId="174" fontId="1" fillId="0" borderId="8" xfId="0" applyNumberFormat="1" applyFont="1" applyFill="1" applyBorder="1" applyAlignment="1">
      <alignment horizontal="center"/>
    </xf>
    <xf numFmtId="174" fontId="4" fillId="0" borderId="0" xfId="0" applyNumberFormat="1" applyFont="1" applyBorder="1" applyAlignment="1">
      <alignment horizontal="right"/>
    </xf>
    <xf numFmtId="0" fontId="4" fillId="0" borderId="0" xfId="0" applyFont="1" applyBorder="1" applyAlignment="1">
      <alignment horizontal="right"/>
    </xf>
    <xf numFmtId="0" fontId="4" fillId="0" borderId="0" xfId="0" applyFont="1" applyAlignment="1">
      <alignment horizontal="center"/>
    </xf>
    <xf numFmtId="174" fontId="44" fillId="0" borderId="0" xfId="0" applyNumberFormat="1" applyFont="1" applyBorder="1" applyAlignment="1">
      <alignment horizontal="right"/>
    </xf>
    <xf numFmtId="0" fontId="40" fillId="0" borderId="0" xfId="0" applyFont="1" applyBorder="1"/>
    <xf numFmtId="176" fontId="1" fillId="0" borderId="0" xfId="0" applyNumberFormat="1" applyFont="1" applyBorder="1"/>
    <xf numFmtId="166" fontId="1" fillId="0" borderId="0" xfId="0" applyNumberFormat="1" applyFont="1" applyBorder="1"/>
    <xf numFmtId="174" fontId="1" fillId="0" borderId="0" xfId="0" applyNumberFormat="1" applyFont="1" applyBorder="1"/>
    <xf numFmtId="0" fontId="6" fillId="0" borderId="0" xfId="0" applyFont="1" applyBorder="1" applyAlignment="1">
      <alignment horizontal="center"/>
    </xf>
    <xf numFmtId="174" fontId="16" fillId="0" borderId="0" xfId="0" applyNumberFormat="1" applyFont="1" applyBorder="1" applyAlignment="1">
      <alignment horizontal="right"/>
    </xf>
    <xf numFmtId="0" fontId="41" fillId="0" borderId="0" xfId="0" applyFont="1" applyBorder="1"/>
    <xf numFmtId="5" fontId="16" fillId="0" borderId="0" xfId="0" applyNumberFormat="1" applyFont="1" applyBorder="1"/>
    <xf numFmtId="0" fontId="4" fillId="0" borderId="0" xfId="0" applyFont="1" applyAlignment="1">
      <alignment horizontal="right"/>
    </xf>
    <xf numFmtId="37" fontId="7" fillId="0" borderId="0" xfId="0" applyNumberFormat="1" applyFont="1" applyBorder="1"/>
    <xf numFmtId="0" fontId="1" fillId="0" borderId="0" xfId="0" applyFont="1" applyFill="1" applyAlignment="1">
      <alignment horizontal="center"/>
    </xf>
    <xf numFmtId="176" fontId="1" fillId="0" borderId="0" xfId="0" applyNumberFormat="1" applyFont="1" applyBorder="1" applyAlignment="1">
      <alignment horizontal="right"/>
    </xf>
    <xf numFmtId="0" fontId="1" fillId="0" borderId="0" xfId="0" applyFont="1" applyProtection="1">
      <protection locked="0"/>
    </xf>
    <xf numFmtId="165" fontId="7" fillId="0" borderId="9" xfId="0" applyNumberFormat="1" applyFont="1" applyFill="1" applyBorder="1"/>
    <xf numFmtId="165" fontId="0" fillId="0" borderId="9" xfId="0" applyNumberFormat="1" applyFont="1" applyFill="1" applyBorder="1"/>
    <xf numFmtId="0" fontId="1" fillId="0" borderId="0" xfId="0" applyFont="1" applyAlignment="1"/>
    <xf numFmtId="0" fontId="1" fillId="0" borderId="0" xfId="0" applyFont="1" applyBorder="1" applyAlignment="1"/>
    <xf numFmtId="0" fontId="42" fillId="0" borderId="0" xfId="0" applyFont="1" applyFill="1"/>
    <xf numFmtId="0" fontId="50" fillId="0" borderId="0" xfId="0" applyFont="1" applyFill="1"/>
    <xf numFmtId="164" fontId="8" fillId="0" borderId="0" xfId="0" applyNumberFormat="1" applyFont="1" applyFill="1" applyBorder="1"/>
    <xf numFmtId="166" fontId="7" fillId="0" borderId="0" xfId="0" applyNumberFormat="1" applyFont="1" applyAlignment="1">
      <alignment horizontal="right"/>
    </xf>
    <xf numFmtId="0" fontId="0" fillId="0" borderId="0" xfId="0" applyAlignment="1">
      <alignment horizontal="right"/>
    </xf>
    <xf numFmtId="0" fontId="56" fillId="0" borderId="0" xfId="0" applyFont="1" applyFill="1" applyBorder="1"/>
    <xf numFmtId="166" fontId="16" fillId="0" borderId="0" xfId="0" applyNumberFormat="1" applyFont="1" applyAlignment="1">
      <alignment horizontal="right"/>
    </xf>
    <xf numFmtId="0" fontId="60" fillId="2" borderId="0" xfId="0" applyFont="1" applyFill="1"/>
    <xf numFmtId="0" fontId="60" fillId="2" borderId="0" xfId="0" applyFont="1" applyFill="1" applyAlignment="1">
      <alignment horizontal="right"/>
    </xf>
    <xf numFmtId="0" fontId="60" fillId="0" borderId="0" xfId="0" applyFont="1"/>
    <xf numFmtId="169" fontId="16" fillId="0" borderId="0" xfId="0" applyNumberFormat="1" applyFont="1" applyAlignment="1">
      <alignment horizontal="right"/>
    </xf>
    <xf numFmtId="168" fontId="16" fillId="0" borderId="0" xfId="0" applyNumberFormat="1" applyFont="1" applyAlignment="1">
      <alignment horizontal="right"/>
    </xf>
    <xf numFmtId="180" fontId="16" fillId="0" borderId="0" xfId="0" applyNumberFormat="1" applyFont="1" applyAlignment="1">
      <alignment horizontal="right"/>
    </xf>
    <xf numFmtId="167" fontId="16" fillId="0" borderId="0" xfId="0" applyNumberFormat="1" applyFont="1" applyAlignment="1">
      <alignment horizontal="right"/>
    </xf>
    <xf numFmtId="7" fontId="16" fillId="0" borderId="0" xfId="0" applyNumberFormat="1" applyFont="1" applyAlignment="1">
      <alignment horizontal="right"/>
    </xf>
    <xf numFmtId="0" fontId="1" fillId="2" borderId="0" xfId="0" applyFont="1" applyFill="1" applyAlignment="1">
      <alignment horizontal="right"/>
    </xf>
    <xf numFmtId="0" fontId="22" fillId="0" borderId="0" xfId="0" applyFont="1" applyAlignment="1">
      <alignment horizontal="right"/>
    </xf>
    <xf numFmtId="166" fontId="0" fillId="0" borderId="0" xfId="0" applyNumberFormat="1"/>
    <xf numFmtId="0" fontId="13" fillId="0" borderId="0" xfId="0" applyFont="1" applyBorder="1" applyAlignment="1"/>
    <xf numFmtId="164" fontId="12" fillId="0" borderId="0" xfId="0" applyNumberFormat="1" applyFont="1" applyBorder="1"/>
    <xf numFmtId="180" fontId="7" fillId="0" borderId="0" xfId="0" applyNumberFormat="1" applyFont="1" applyBorder="1"/>
    <xf numFmtId="180" fontId="13" fillId="0" borderId="0" xfId="0" applyNumberFormat="1" applyFont="1" applyBorder="1" applyAlignment="1"/>
    <xf numFmtId="166" fontId="7" fillId="0" borderId="7" xfId="0" applyNumberFormat="1" applyFont="1" applyFill="1" applyBorder="1"/>
    <xf numFmtId="0" fontId="8" fillId="0" borderId="0" xfId="0" applyFont="1" applyBorder="1" applyAlignment="1">
      <alignment horizontal="centerContinuous"/>
    </xf>
    <xf numFmtId="14" fontId="24" fillId="0" borderId="0" xfId="0" applyNumberFormat="1" applyFont="1" applyBorder="1" applyAlignment="1">
      <alignment horizontal="centerContinuous"/>
    </xf>
    <xf numFmtId="0" fontId="0" fillId="0" borderId="0" xfId="0" applyFill="1"/>
    <xf numFmtId="0" fontId="0" fillId="0" borderId="0" xfId="0" applyFill="1" applyBorder="1"/>
    <xf numFmtId="181" fontId="13" fillId="0" borderId="0" xfId="0" applyNumberFormat="1" applyFont="1" applyFill="1" applyBorder="1"/>
    <xf numFmtId="182" fontId="13" fillId="0" borderId="0" xfId="0" applyNumberFormat="1" applyFont="1" applyFill="1" applyBorder="1"/>
    <xf numFmtId="164" fontId="0" fillId="0" borderId="0" xfId="0" applyNumberFormat="1"/>
    <xf numFmtId="0" fontId="0" fillId="0" borderId="4" xfId="0" applyFont="1" applyFill="1" applyBorder="1" applyAlignment="1">
      <alignment horizontal="centerContinuous"/>
    </xf>
    <xf numFmtId="174" fontId="0" fillId="0" borderId="0" xfId="0" applyNumberFormat="1" applyFont="1" applyFill="1"/>
    <xf numFmtId="174" fontId="0" fillId="0" borderId="10" xfId="0" applyNumberFormat="1" applyFont="1" applyFill="1" applyBorder="1"/>
    <xf numFmtId="174" fontId="0" fillId="0" borderId="0" xfId="0" applyNumberFormat="1" applyFont="1" applyFill="1" applyBorder="1"/>
    <xf numFmtId="165" fontId="12" fillId="0" borderId="0" xfId="0" applyNumberFormat="1" applyFont="1" applyFill="1"/>
    <xf numFmtId="164" fontId="0" fillId="0" borderId="11" xfId="0" applyNumberFormat="1" applyBorder="1"/>
    <xf numFmtId="164" fontId="0" fillId="0" borderId="0" xfId="0" applyNumberFormat="1" applyBorder="1"/>
    <xf numFmtId="174" fontId="7" fillId="0" borderId="0" xfId="0" applyNumberFormat="1" applyFont="1" applyFill="1"/>
    <xf numFmtId="166" fontId="0" fillId="0" borderId="0" xfId="0" applyNumberFormat="1" applyFill="1"/>
    <xf numFmtId="166" fontId="16" fillId="0" borderId="0" xfId="0" applyNumberFormat="1" applyFont="1" applyFill="1" applyBorder="1"/>
    <xf numFmtId="165" fontId="4" fillId="0" borderId="0" xfId="0" applyNumberFormat="1" applyFont="1"/>
    <xf numFmtId="18" fontId="0" fillId="0" borderId="0" xfId="0" applyNumberFormat="1"/>
    <xf numFmtId="0" fontId="0" fillId="0" borderId="1" xfId="0" applyBorder="1"/>
    <xf numFmtId="0" fontId="0" fillId="0" borderId="2" xfId="0" applyBorder="1" applyAlignment="1">
      <alignment horizontal="centerContinuous"/>
    </xf>
    <xf numFmtId="172" fontId="6" fillId="0" borderId="12" xfId="0" applyNumberFormat="1" applyFont="1" applyBorder="1"/>
    <xf numFmtId="164" fontId="13" fillId="0" borderId="0" xfId="0" applyNumberFormat="1" applyFont="1"/>
    <xf numFmtId="0" fontId="16" fillId="0" borderId="0" xfId="0" applyFont="1"/>
    <xf numFmtId="166" fontId="4" fillId="0" borderId="0" xfId="0" applyNumberFormat="1" applyFont="1"/>
    <xf numFmtId="0" fontId="32" fillId="0" borderId="0" xfId="0" applyFont="1" applyAlignment="1">
      <alignment horizontal="left"/>
    </xf>
    <xf numFmtId="0" fontId="6" fillId="0" borderId="0" xfId="0" applyFont="1" applyFill="1" applyBorder="1"/>
    <xf numFmtId="0" fontId="0" fillId="0" borderId="7" xfId="0" applyFill="1" applyBorder="1"/>
    <xf numFmtId="164" fontId="0" fillId="0" borderId="0" xfId="0" applyNumberFormat="1" applyFill="1"/>
    <xf numFmtId="166" fontId="12" fillId="0" borderId="0" xfId="0" applyNumberFormat="1" applyFont="1" applyFill="1"/>
    <xf numFmtId="164" fontId="16" fillId="0" borderId="0" xfId="0" applyNumberFormat="1" applyFont="1" applyFill="1"/>
    <xf numFmtId="164" fontId="16" fillId="0" borderId="11" xfId="0" applyNumberFormat="1" applyFont="1" applyFill="1" applyBorder="1"/>
    <xf numFmtId="164" fontId="13" fillId="0" borderId="11" xfId="0" applyNumberFormat="1" applyFont="1" applyFill="1" applyBorder="1"/>
    <xf numFmtId="165" fontId="4" fillId="0" borderId="7" xfId="0" applyNumberFormat="1" applyFont="1" applyBorder="1"/>
    <xf numFmtId="166" fontId="0" fillId="2" borderId="0" xfId="0" applyNumberFormat="1" applyFill="1"/>
    <xf numFmtId="166" fontId="0" fillId="2" borderId="7" xfId="0" applyNumberFormat="1" applyFill="1" applyBorder="1"/>
    <xf numFmtId="166" fontId="8" fillId="2" borderId="7" xfId="0" applyNumberFormat="1" applyFont="1" applyFill="1" applyBorder="1" applyAlignment="1">
      <alignment horizontal="centerContinuous"/>
    </xf>
    <xf numFmtId="0" fontId="13" fillId="0" borderId="2" xfId="0" applyFont="1" applyBorder="1" applyAlignment="1">
      <alignment horizontal="centerContinuous"/>
    </xf>
    <xf numFmtId="166" fontId="13" fillId="0" borderId="0" xfId="0" applyNumberFormat="1" applyFont="1" applyFill="1"/>
    <xf numFmtId="164" fontId="16" fillId="0" borderId="11" xfId="0" applyNumberFormat="1" applyFont="1" applyBorder="1"/>
    <xf numFmtId="164" fontId="16" fillId="0" borderId="12" xfId="0" applyNumberFormat="1" applyFont="1" applyBorder="1"/>
    <xf numFmtId="166" fontId="0" fillId="0" borderId="0" xfId="0" applyNumberFormat="1" applyBorder="1"/>
    <xf numFmtId="0" fontId="0" fillId="0" borderId="0" xfId="0" applyProtection="1">
      <protection locked="0"/>
    </xf>
    <xf numFmtId="18" fontId="16" fillId="0" borderId="0" xfId="0" applyNumberFormat="1" applyFont="1"/>
    <xf numFmtId="164" fontId="0" fillId="0" borderId="11" xfId="0" applyNumberFormat="1" applyFont="1" applyBorder="1"/>
    <xf numFmtId="0" fontId="13" fillId="0" borderId="1" xfId="0" applyFont="1" applyBorder="1"/>
    <xf numFmtId="0" fontId="13" fillId="0" borderId="7" xfId="0" applyFont="1" applyBorder="1"/>
    <xf numFmtId="0" fontId="13" fillId="2" borderId="0" xfId="0" applyNumberFormat="1" applyFont="1" applyFill="1"/>
    <xf numFmtId="0" fontId="8" fillId="2" borderId="0" xfId="0" applyNumberFormat="1" applyFont="1" applyFill="1" applyAlignment="1">
      <alignment horizontal="centerContinuous"/>
    </xf>
    <xf numFmtId="0" fontId="53" fillId="0" borderId="0" xfId="0" applyNumberFormat="1" applyFont="1" applyBorder="1" applyAlignment="1">
      <alignment horizontal="left"/>
    </xf>
    <xf numFmtId="164" fontId="13" fillId="0" borderId="11" xfId="0" applyNumberFormat="1" applyFont="1" applyBorder="1"/>
    <xf numFmtId="173" fontId="13" fillId="0" borderId="0" xfId="0" applyNumberFormat="1" applyFont="1"/>
    <xf numFmtId="166" fontId="13" fillId="2" borderId="0" xfId="0" applyNumberFormat="1" applyFont="1" applyFill="1"/>
    <xf numFmtId="180" fontId="13" fillId="0" borderId="0" xfId="0" applyNumberFormat="1" applyFont="1"/>
    <xf numFmtId="7" fontId="13" fillId="0" borderId="0" xfId="0" applyNumberFormat="1" applyFont="1"/>
    <xf numFmtId="167" fontId="7" fillId="0" borderId="0" xfId="0" applyNumberFormat="1" applyFont="1" applyBorder="1"/>
    <xf numFmtId="167" fontId="13" fillId="0" borderId="0" xfId="0" applyNumberFormat="1" applyFont="1"/>
    <xf numFmtId="164" fontId="7" fillId="0" borderId="0" xfId="0" applyNumberFormat="1" applyFont="1" applyBorder="1"/>
    <xf numFmtId="0" fontId="15" fillId="0" borderId="0" xfId="0" applyFont="1" applyFill="1"/>
    <xf numFmtId="7" fontId="15" fillId="0" borderId="0" xfId="0" applyNumberFormat="1" applyFont="1" applyFill="1"/>
    <xf numFmtId="164" fontId="13" fillId="0" borderId="0" xfId="0" applyNumberFormat="1" applyFont="1" applyFill="1"/>
    <xf numFmtId="167" fontId="12" fillId="0" borderId="0" xfId="0" applyNumberFormat="1" applyFont="1" applyFill="1"/>
    <xf numFmtId="0" fontId="7" fillId="0" borderId="0" xfId="0" applyFont="1"/>
    <xf numFmtId="165" fontId="13" fillId="0" borderId="0" xfId="0" applyNumberFormat="1" applyFont="1"/>
    <xf numFmtId="165" fontId="13" fillId="0" borderId="0" xfId="0" applyNumberFormat="1" applyFont="1" applyBorder="1"/>
    <xf numFmtId="165" fontId="13" fillId="0" borderId="0" xfId="0" applyNumberFormat="1" applyFont="1" applyBorder="1" applyAlignment="1">
      <alignment horizontal="right"/>
    </xf>
    <xf numFmtId="0" fontId="13" fillId="0" borderId="0" xfId="0" applyFont="1" applyProtection="1">
      <protection locked="0"/>
    </xf>
    <xf numFmtId="167" fontId="13" fillId="0" borderId="0" xfId="0" applyNumberFormat="1" applyFont="1" applyBorder="1"/>
    <xf numFmtId="167" fontId="16" fillId="0" borderId="0" xfId="0" applyNumberFormat="1" applyFont="1" applyBorder="1"/>
    <xf numFmtId="0" fontId="20" fillId="0" borderId="0" xfId="0" applyFont="1" applyAlignment="1">
      <alignment horizontal="right"/>
    </xf>
    <xf numFmtId="167" fontId="7" fillId="0" borderId="0" xfId="0" applyNumberFormat="1" applyFont="1" applyFill="1" applyBorder="1"/>
    <xf numFmtId="167" fontId="16" fillId="0" borderId="0" xfId="0" applyNumberFormat="1" applyFont="1" applyFill="1" applyBorder="1"/>
    <xf numFmtId="10" fontId="13" fillId="0" borderId="0" xfId="0" applyNumberFormat="1" applyFont="1"/>
    <xf numFmtId="3" fontId="13" fillId="0" borderId="0" xfId="0" applyNumberFormat="1" applyFont="1"/>
    <xf numFmtId="0" fontId="13" fillId="0" borderId="7" xfId="0" applyFont="1" applyFill="1" applyBorder="1"/>
    <xf numFmtId="166" fontId="13" fillId="0" borderId="0" xfId="0" applyNumberFormat="1" applyFont="1" applyFill="1" applyBorder="1"/>
    <xf numFmtId="164" fontId="8" fillId="0" borderId="11" xfId="0" applyNumberFormat="1" applyFont="1" applyFill="1" applyBorder="1"/>
    <xf numFmtId="0" fontId="18" fillId="0" borderId="0" xfId="0" applyFont="1"/>
    <xf numFmtId="0" fontId="13" fillId="2" borderId="0" xfId="0" applyFont="1" applyFill="1"/>
    <xf numFmtId="164" fontId="13" fillId="0" borderId="0" xfId="0" applyNumberFormat="1" applyFont="1" applyBorder="1"/>
    <xf numFmtId="164" fontId="7" fillId="2" borderId="0" xfId="0" applyNumberFormat="1" applyFont="1" applyFill="1"/>
    <xf numFmtId="164" fontId="13" fillId="2" borderId="0" xfId="0" applyNumberFormat="1" applyFont="1" applyFill="1"/>
    <xf numFmtId="166" fontId="7" fillId="2" borderId="0" xfId="0" applyNumberFormat="1" applyFont="1" applyFill="1"/>
    <xf numFmtId="0" fontId="13" fillId="0" borderId="13" xfId="0" applyFont="1" applyBorder="1"/>
    <xf numFmtId="0" fontId="12" fillId="0" borderId="13" xfId="0" applyFont="1" applyBorder="1"/>
    <xf numFmtId="166" fontId="7" fillId="0" borderId="13" xfId="0" applyNumberFormat="1" applyFont="1" applyBorder="1"/>
    <xf numFmtId="166" fontId="13" fillId="0" borderId="13" xfId="0" applyNumberFormat="1" applyFont="1" applyBorder="1"/>
    <xf numFmtId="166" fontId="13" fillId="0" borderId="0" xfId="0" applyNumberFormat="1" applyFont="1" applyBorder="1"/>
    <xf numFmtId="164" fontId="13" fillId="0" borderId="0" xfId="0" applyNumberFormat="1" applyFont="1" applyFill="1" applyBorder="1"/>
    <xf numFmtId="171" fontId="7" fillId="0" borderId="0" xfId="0" applyNumberFormat="1" applyFont="1" applyFill="1" applyBorder="1"/>
    <xf numFmtId="171" fontId="13" fillId="0" borderId="0" xfId="0" applyNumberFormat="1" applyFont="1" applyBorder="1"/>
    <xf numFmtId="174" fontId="13" fillId="0" borderId="0" xfId="0" applyNumberFormat="1" applyFont="1"/>
    <xf numFmtId="7" fontId="0" fillId="0" borderId="0" xfId="0" applyNumberFormat="1" applyFont="1" applyFill="1"/>
    <xf numFmtId="0" fontId="19" fillId="0" borderId="14" xfId="0" applyFont="1" applyBorder="1" applyAlignment="1">
      <alignment horizontal="centerContinuous"/>
    </xf>
    <xf numFmtId="0" fontId="19" fillId="0" borderId="12" xfId="0" applyFont="1" applyBorder="1" applyAlignment="1">
      <alignment horizontal="centerContinuous"/>
    </xf>
    <xf numFmtId="164" fontId="7" fillId="0" borderId="15" xfId="0" applyNumberFormat="1" applyFont="1" applyBorder="1"/>
    <xf numFmtId="177" fontId="7" fillId="0" borderId="7" xfId="0" applyNumberFormat="1" applyFont="1" applyBorder="1"/>
    <xf numFmtId="166" fontId="7" fillId="0" borderId="15" xfId="0" applyNumberFormat="1" applyFont="1" applyBorder="1"/>
    <xf numFmtId="0" fontId="8" fillId="0" borderId="5" xfId="0" applyFont="1" applyBorder="1" applyAlignment="1">
      <alignment horizontal="right"/>
    </xf>
    <xf numFmtId="177" fontId="8" fillId="0" borderId="4" xfId="0" applyNumberFormat="1" applyFont="1" applyBorder="1"/>
    <xf numFmtId="167" fontId="16" fillId="0" borderId="0" xfId="0" applyNumberFormat="1" applyFont="1" applyFill="1"/>
    <xf numFmtId="183" fontId="0" fillId="0" borderId="0" xfId="0" applyNumberFormat="1"/>
    <xf numFmtId="0" fontId="9" fillId="0" borderId="0" xfId="0" applyFont="1"/>
    <xf numFmtId="0" fontId="9" fillId="0" borderId="0" xfId="0" applyFont="1" applyBorder="1"/>
    <xf numFmtId="166" fontId="0" fillId="0" borderId="0" xfId="0" applyNumberFormat="1" applyFill="1" applyBorder="1"/>
    <xf numFmtId="166" fontId="13" fillId="0" borderId="11" xfId="0" applyNumberFormat="1" applyFont="1" applyBorder="1"/>
    <xf numFmtId="7" fontId="8" fillId="0" borderId="0" xfId="0" applyNumberFormat="1" applyFont="1" applyBorder="1"/>
    <xf numFmtId="171" fontId="16" fillId="0" borderId="0" xfId="0" applyNumberFormat="1" applyFont="1" applyAlignment="1">
      <alignment horizontal="right"/>
    </xf>
    <xf numFmtId="8" fontId="0" fillId="0" borderId="16" xfId="0" applyNumberFormat="1" applyFont="1" applyFill="1" applyBorder="1"/>
    <xf numFmtId="39" fontId="0" fillId="0" borderId="17" xfId="0" applyNumberFormat="1" applyFont="1" applyFill="1" applyBorder="1"/>
    <xf numFmtId="39" fontId="0" fillId="0" borderId="18" xfId="0" applyNumberFormat="1" applyFont="1" applyFill="1" applyBorder="1"/>
    <xf numFmtId="10" fontId="0" fillId="0" borderId="0" xfId="0" applyNumberFormat="1" applyBorder="1"/>
    <xf numFmtId="174" fontId="0" fillId="0" borderId="14" xfId="0" applyNumberFormat="1" applyBorder="1"/>
    <xf numFmtId="174" fontId="0" fillId="0" borderId="11" xfId="0" applyNumberFormat="1" applyBorder="1"/>
    <xf numFmtId="174" fontId="0" fillId="0" borderId="12" xfId="0" applyNumberFormat="1" applyBorder="1"/>
    <xf numFmtId="174" fontId="0" fillId="0" borderId="15" xfId="0" applyNumberFormat="1" applyBorder="1"/>
    <xf numFmtId="174" fontId="0" fillId="0" borderId="0" xfId="0" applyNumberFormat="1" applyBorder="1"/>
    <xf numFmtId="174" fontId="0" fillId="0" borderId="7" xfId="0" applyNumberFormat="1" applyBorder="1"/>
    <xf numFmtId="174" fontId="0" fillId="0" borderId="19" xfId="0" applyNumberFormat="1" applyBorder="1"/>
    <xf numFmtId="174" fontId="0" fillId="0" borderId="9" xfId="0" applyNumberFormat="1" applyBorder="1"/>
    <xf numFmtId="174" fontId="0" fillId="0" borderId="9" xfId="0" applyNumberFormat="1" applyFont="1" applyFill="1" applyBorder="1"/>
    <xf numFmtId="0" fontId="33" fillId="0" borderId="0" xfId="0" applyFont="1" applyFill="1" applyBorder="1"/>
    <xf numFmtId="0" fontId="61" fillId="0" borderId="0" xfId="0" quotePrefix="1" applyFont="1" applyBorder="1"/>
    <xf numFmtId="0" fontId="13" fillId="0" borderId="0" xfId="0" applyFont="1" applyAlignment="1">
      <alignment horizontal="right"/>
    </xf>
    <xf numFmtId="0" fontId="11" fillId="0" borderId="0" xfId="0" applyFont="1" applyFill="1"/>
    <xf numFmtId="0" fontId="13" fillId="0" borderId="1" xfId="0" applyFont="1" applyFill="1" applyBorder="1"/>
    <xf numFmtId="0" fontId="8" fillId="0" borderId="0" xfId="0" applyFont="1" applyFill="1" applyAlignment="1">
      <alignment horizontal="center"/>
    </xf>
    <xf numFmtId="0" fontId="8" fillId="0" borderId="0" xfId="0" applyFont="1" applyFill="1" applyBorder="1" applyAlignment="1">
      <alignment horizontal="center"/>
    </xf>
    <xf numFmtId="0" fontId="59" fillId="0" borderId="0" xfId="0" applyFont="1" applyFill="1"/>
    <xf numFmtId="0" fontId="55" fillId="3" borderId="2" xfId="0" applyNumberFormat="1" applyFont="1" applyFill="1" applyBorder="1" applyAlignment="1">
      <alignment horizontal="center"/>
    </xf>
    <xf numFmtId="0" fontId="8" fillId="0" borderId="0" xfId="0" applyFont="1" applyFill="1" applyAlignment="1">
      <alignment horizontal="left"/>
    </xf>
    <xf numFmtId="172" fontId="13" fillId="0" borderId="0" xfId="0" applyNumberFormat="1" applyFont="1" applyFill="1" applyAlignment="1">
      <alignment horizontal="right"/>
    </xf>
    <xf numFmtId="0" fontId="13" fillId="0" borderId="0" xfId="0" applyFont="1" applyFill="1" applyAlignment="1">
      <alignment horizontal="center"/>
    </xf>
    <xf numFmtId="172" fontId="13" fillId="0" borderId="0" xfId="0" applyNumberFormat="1" applyFont="1" applyFill="1" applyBorder="1" applyAlignment="1">
      <alignment horizontal="right"/>
    </xf>
    <xf numFmtId="0" fontId="13" fillId="0" borderId="11" xfId="0" applyFont="1" applyFill="1" applyBorder="1" applyAlignment="1">
      <alignment horizontal="right"/>
    </xf>
    <xf numFmtId="0" fontId="13" fillId="0" borderId="11" xfId="0" applyFont="1" applyFill="1" applyBorder="1" applyAlignment="1">
      <alignment horizontal="center"/>
    </xf>
    <xf numFmtId="0" fontId="13" fillId="0" borderId="0" xfId="0" applyFont="1" applyFill="1" applyBorder="1" applyAlignment="1">
      <alignment horizontal="right"/>
    </xf>
    <xf numFmtId="0" fontId="13" fillId="0" borderId="11" xfId="0" applyFont="1" applyFill="1" applyBorder="1"/>
    <xf numFmtId="0" fontId="8" fillId="0" borderId="0" xfId="0" applyFont="1" applyFill="1" applyBorder="1" applyAlignment="1">
      <alignment horizontal="left"/>
    </xf>
    <xf numFmtId="167" fontId="0" fillId="0" borderId="0" xfId="0" applyNumberFormat="1" applyFont="1"/>
    <xf numFmtId="0" fontId="16" fillId="0" borderId="0" xfId="0" applyFont="1" applyFill="1"/>
    <xf numFmtId="167" fontId="13" fillId="0" borderId="0" xfId="0" applyNumberFormat="1" applyFont="1" applyFill="1" applyBorder="1"/>
    <xf numFmtId="167" fontId="45" fillId="0" borderId="0" xfId="0" applyNumberFormat="1" applyFont="1" applyFill="1" applyAlignment="1">
      <alignment horizontal="center"/>
    </xf>
    <xf numFmtId="0" fontId="8" fillId="0" borderId="5" xfId="0" applyFont="1" applyFill="1" applyBorder="1" applyAlignment="1">
      <alignment horizontal="centerContinuous"/>
    </xf>
    <xf numFmtId="0" fontId="8" fillId="0" borderId="3" xfId="0" applyFont="1" applyFill="1" applyBorder="1" applyAlignment="1">
      <alignment horizontal="centerContinuous"/>
    </xf>
    <xf numFmtId="0" fontId="8" fillId="0" borderId="4" xfId="0" applyFont="1" applyBorder="1" applyAlignment="1">
      <alignment horizontal="centerContinuous"/>
    </xf>
    <xf numFmtId="167" fontId="13" fillId="0" borderId="20" xfId="0" applyNumberFormat="1" applyFont="1" applyFill="1" applyBorder="1"/>
    <xf numFmtId="0" fontId="13" fillId="0" borderId="0" xfId="0" applyFont="1" applyFill="1" applyBorder="1" applyAlignment="1">
      <alignment horizontal="centerContinuous"/>
    </xf>
    <xf numFmtId="0" fontId="0" fillId="0" borderId="0" xfId="0" applyFont="1" applyAlignment="1">
      <alignment horizontal="centerContinuous"/>
    </xf>
    <xf numFmtId="166" fontId="8" fillId="0" borderId="0" xfId="0" applyNumberFormat="1" applyFont="1" applyFill="1" applyAlignment="1">
      <alignment horizontal="centerContinuous"/>
    </xf>
    <xf numFmtId="167" fontId="13" fillId="0" borderId="21" xfId="0" applyNumberFormat="1" applyFont="1" applyFill="1" applyBorder="1"/>
    <xf numFmtId="167" fontId="16" fillId="0" borderId="0" xfId="0" applyNumberFormat="1" applyFont="1" applyFill="1" applyAlignment="1">
      <alignment horizontal="centerContinuous"/>
    </xf>
    <xf numFmtId="167" fontId="8" fillId="0" borderId="0" xfId="0" applyNumberFormat="1" applyFont="1" applyFill="1" applyAlignment="1">
      <alignment horizontal="centerContinuous"/>
    </xf>
    <xf numFmtId="167" fontId="15" fillId="0" borderId="0" xfId="0" applyNumberFormat="1" applyFont="1" applyFill="1" applyAlignment="1">
      <alignment horizontal="centerContinuous"/>
    </xf>
    <xf numFmtId="167" fontId="13" fillId="0" borderId="22" xfId="0" applyNumberFormat="1" applyFont="1" applyFill="1" applyBorder="1"/>
    <xf numFmtId="167" fontId="30" fillId="0" borderId="0" xfId="0" applyNumberFormat="1" applyFont="1" applyFill="1" applyAlignment="1">
      <alignment horizontal="right"/>
    </xf>
    <xf numFmtId="167" fontId="30" fillId="0" borderId="0" xfId="0" applyNumberFormat="1" applyFont="1" applyFill="1" applyBorder="1"/>
    <xf numFmtId="0" fontId="38" fillId="0" borderId="0" xfId="0" applyFont="1" applyFill="1" applyAlignment="1">
      <alignment horizontal="center"/>
    </xf>
    <xf numFmtId="167" fontId="13" fillId="0" borderId="0" xfId="0" applyNumberFormat="1" applyFont="1" applyFill="1"/>
    <xf numFmtId="18" fontId="16" fillId="0" borderId="0" xfId="0" applyNumberFormat="1" applyFont="1" applyFill="1"/>
    <xf numFmtId="0" fontId="16" fillId="0" borderId="0" xfId="0" applyFont="1" applyFill="1" applyBorder="1"/>
    <xf numFmtId="167" fontId="12" fillId="0" borderId="0" xfId="0" applyNumberFormat="1" applyFont="1" applyFill="1" applyBorder="1"/>
    <xf numFmtId="0" fontId="0" fillId="0" borderId="3" xfId="0" applyFont="1" applyFill="1" applyBorder="1" applyAlignment="1">
      <alignment horizontal="centerContinuous"/>
    </xf>
    <xf numFmtId="0" fontId="13" fillId="0" borderId="0" xfId="0" applyFont="1" applyFill="1" applyAlignment="1">
      <alignment horizontal="centerContinuous"/>
    </xf>
    <xf numFmtId="0" fontId="46" fillId="0" borderId="0" xfId="0" applyFont="1" applyFill="1"/>
    <xf numFmtId="167" fontId="30" fillId="0" borderId="0" xfId="0" applyNumberFormat="1" applyFont="1" applyFill="1"/>
    <xf numFmtId="178" fontId="16" fillId="0" borderId="0" xfId="0" applyNumberFormat="1" applyFont="1" applyFill="1" applyAlignment="1">
      <alignment horizontal="centerContinuous"/>
    </xf>
    <xf numFmtId="178" fontId="8" fillId="0" borderId="0" xfId="0" applyNumberFormat="1" applyFont="1" applyFill="1" applyAlignment="1">
      <alignment horizontal="centerContinuous"/>
    </xf>
    <xf numFmtId="0" fontId="44" fillId="0" borderId="0" xfId="0" applyFont="1" applyFill="1"/>
    <xf numFmtId="167" fontId="40" fillId="0" borderId="0" xfId="0" applyNumberFormat="1" applyFont="1" applyFill="1" applyAlignment="1">
      <alignment horizontal="right"/>
    </xf>
    <xf numFmtId="0" fontId="30" fillId="0" borderId="0" xfId="0" applyFont="1" applyFill="1"/>
    <xf numFmtId="167" fontId="46" fillId="0" borderId="0" xfId="0" applyNumberFormat="1" applyFont="1" applyFill="1" applyAlignment="1">
      <alignment horizontal="right"/>
    </xf>
    <xf numFmtId="167" fontId="62" fillId="0" borderId="2" xfId="0" applyNumberFormat="1" applyFont="1" applyFill="1" applyBorder="1"/>
    <xf numFmtId="167" fontId="16" fillId="0" borderId="2" xfId="0" applyNumberFormat="1" applyFont="1" applyFill="1" applyBorder="1"/>
    <xf numFmtId="167" fontId="62" fillId="0" borderId="0" xfId="0" applyNumberFormat="1" applyFont="1" applyFill="1" applyBorder="1"/>
    <xf numFmtId="167" fontId="63" fillId="0" borderId="0" xfId="0" applyNumberFormat="1" applyFont="1" applyFill="1" applyAlignment="1">
      <alignment horizontal="center"/>
    </xf>
    <xf numFmtId="0" fontId="9" fillId="0" borderId="0" xfId="0" applyFont="1" applyFill="1" applyAlignment="1">
      <alignment horizontal="right"/>
    </xf>
    <xf numFmtId="167" fontId="9" fillId="0" borderId="0" xfId="0" applyNumberFormat="1" applyFont="1" applyFill="1"/>
    <xf numFmtId="167" fontId="9" fillId="0" borderId="0" xfId="0" applyNumberFormat="1" applyFont="1" applyFill="1" applyBorder="1"/>
    <xf numFmtId="167" fontId="20" fillId="0" borderId="0" xfId="0" applyNumberFormat="1" applyFont="1" applyFill="1"/>
    <xf numFmtId="18" fontId="8" fillId="0" borderId="0" xfId="0" applyNumberFormat="1" applyFont="1" applyFill="1" applyBorder="1" applyAlignment="1">
      <alignment horizontal="left"/>
    </xf>
    <xf numFmtId="184" fontId="13" fillId="0" borderId="0" xfId="0" applyNumberFormat="1" applyFont="1"/>
    <xf numFmtId="166" fontId="13" fillId="0" borderId="0" xfId="0" applyNumberFormat="1" applyFont="1" applyFill="1" applyBorder="1" applyAlignment="1">
      <alignment horizontal="left"/>
    </xf>
    <xf numFmtId="0" fontId="20" fillId="0" borderId="0" xfId="0" applyFont="1" applyFill="1" applyBorder="1" applyAlignment="1">
      <alignment horizontal="right"/>
    </xf>
    <xf numFmtId="0" fontId="0" fillId="0" borderId="0" xfId="0" applyAlignment="1">
      <alignment wrapText="1"/>
    </xf>
    <xf numFmtId="0" fontId="20" fillId="0" borderId="0" xfId="0" applyFont="1" applyAlignment="1"/>
    <xf numFmtId="0" fontId="55" fillId="0" borderId="0" xfId="0" applyFont="1"/>
    <xf numFmtId="166" fontId="14" fillId="0" borderId="0" xfId="0" applyNumberFormat="1" applyFont="1" applyFill="1"/>
    <xf numFmtId="165" fontId="12" fillId="0" borderId="0" xfId="0" applyNumberFormat="1" applyFont="1" applyFill="1" applyBorder="1" applyAlignment="1">
      <alignment horizontal="right"/>
    </xf>
    <xf numFmtId="0" fontId="0" fillId="2" borderId="0" xfId="0" applyFill="1"/>
    <xf numFmtId="0" fontId="0" fillId="2" borderId="0" xfId="0" applyFill="1" applyAlignment="1">
      <alignment horizontal="centerContinuous"/>
    </xf>
    <xf numFmtId="0" fontId="55" fillId="0" borderId="0" xfId="0" applyFont="1" applyBorder="1"/>
    <xf numFmtId="7" fontId="14" fillId="0" borderId="0" xfId="0" applyNumberFormat="1" applyFont="1" applyFill="1" applyBorder="1"/>
    <xf numFmtId="166" fontId="8" fillId="0" borderId="0" xfId="0" applyNumberFormat="1" applyFont="1"/>
    <xf numFmtId="0" fontId="0" fillId="0" borderId="0" xfId="0" applyFill="1" applyAlignment="1">
      <alignment horizontal="centerContinuous"/>
    </xf>
    <xf numFmtId="165" fontId="12" fillId="0" borderId="7" xfId="0" applyNumberFormat="1" applyFont="1" applyFill="1" applyBorder="1"/>
    <xf numFmtId="0" fontId="7" fillId="0" borderId="0" xfId="0" applyFont="1" applyBorder="1"/>
    <xf numFmtId="0" fontId="48" fillId="0" borderId="0" xfId="0" applyFont="1" applyAlignment="1">
      <alignment horizontal="right"/>
    </xf>
    <xf numFmtId="10" fontId="0" fillId="0" borderId="0" xfId="0" applyNumberFormat="1"/>
    <xf numFmtId="178" fontId="0" fillId="0" borderId="0" xfId="0" applyNumberFormat="1" applyFont="1" applyFill="1" applyBorder="1"/>
    <xf numFmtId="0" fontId="42" fillId="0" borderId="0" xfId="0" applyFont="1" applyFill="1" applyBorder="1"/>
    <xf numFmtId="0" fontId="59" fillId="0" borderId="14" xfId="0" applyFont="1" applyBorder="1" applyAlignment="1">
      <alignment horizontal="centerContinuous"/>
    </xf>
    <xf numFmtId="0" fontId="12" fillId="0" borderId="0" xfId="0" applyFont="1" applyFill="1" applyBorder="1"/>
    <xf numFmtId="166" fontId="6" fillId="0" borderId="0" xfId="0" applyNumberFormat="1" applyFont="1" applyFill="1" applyBorder="1"/>
    <xf numFmtId="164" fontId="7" fillId="0" borderId="0" xfId="0" applyNumberFormat="1" applyFont="1" applyFill="1" applyBorder="1"/>
    <xf numFmtId="164" fontId="12" fillId="0" borderId="0" xfId="0" applyNumberFormat="1" applyFont="1" applyFill="1" applyBorder="1"/>
    <xf numFmtId="164" fontId="58" fillId="0" borderId="0" xfId="0" applyNumberFormat="1" applyFont="1" applyFill="1" applyBorder="1"/>
    <xf numFmtId="166" fontId="6" fillId="0" borderId="0" xfId="0" applyNumberFormat="1" applyFont="1" applyFill="1" applyBorder="1" applyAlignment="1">
      <alignment horizontal="left"/>
    </xf>
    <xf numFmtId="166" fontId="13" fillId="0" borderId="0" xfId="0" applyNumberFormat="1" applyFont="1" applyFill="1" applyBorder="1" applyAlignment="1">
      <alignment horizontal="centerContinuous"/>
    </xf>
    <xf numFmtId="166" fontId="13" fillId="0" borderId="0" xfId="0" applyNumberFormat="1" applyFont="1" applyFill="1" applyBorder="1" applyAlignment="1">
      <alignment horizontal="right"/>
    </xf>
    <xf numFmtId="0" fontId="0" fillId="0" borderId="11" xfId="0" applyFill="1" applyBorder="1" applyAlignment="1">
      <alignment horizontal="centerContinuous"/>
    </xf>
    <xf numFmtId="0" fontId="0" fillId="0" borderId="12" xfId="0" applyFill="1" applyBorder="1" applyAlignment="1">
      <alignment horizontal="centerContinuous"/>
    </xf>
    <xf numFmtId="0" fontId="0" fillId="0" borderId="15" xfId="0" applyFont="1" applyFill="1" applyBorder="1"/>
    <xf numFmtId="0" fontId="8" fillId="0" borderId="15" xfId="0" applyFont="1" applyFill="1" applyBorder="1"/>
    <xf numFmtId="0" fontId="57" fillId="0" borderId="14" xfId="0" applyFont="1" applyFill="1" applyBorder="1"/>
    <xf numFmtId="0" fontId="12" fillId="0" borderId="11" xfId="0" applyFont="1" applyFill="1" applyBorder="1"/>
    <xf numFmtId="0" fontId="0" fillId="0" borderId="11" xfId="0" applyFill="1" applyBorder="1"/>
    <xf numFmtId="0" fontId="57" fillId="0" borderId="11" xfId="0" applyFont="1" applyFill="1" applyBorder="1"/>
    <xf numFmtId="0" fontId="0" fillId="0" borderId="12" xfId="0" applyFill="1" applyBorder="1"/>
    <xf numFmtId="0" fontId="8" fillId="0" borderId="0" xfId="0" applyFont="1" applyFill="1" applyBorder="1" applyAlignment="1">
      <alignment horizontal="right"/>
    </xf>
    <xf numFmtId="0" fontId="8" fillId="0" borderId="0" xfId="0" applyFont="1" applyFill="1" applyBorder="1"/>
    <xf numFmtId="0" fontId="0" fillId="0" borderId="0" xfId="0" applyFont="1"/>
    <xf numFmtId="169" fontId="0" fillId="0" borderId="0" xfId="0" applyNumberFormat="1" applyFont="1" applyFill="1" applyBorder="1"/>
    <xf numFmtId="172" fontId="6" fillId="0" borderId="0" xfId="0" applyNumberFormat="1" applyFont="1" applyBorder="1"/>
    <xf numFmtId="167" fontId="10" fillId="0" borderId="0" xfId="0" applyNumberFormat="1" applyFont="1" applyFill="1" applyBorder="1" applyAlignment="1">
      <alignment horizontal="right"/>
    </xf>
    <xf numFmtId="0" fontId="0" fillId="0" borderId="0" xfId="0" applyFont="1" applyBorder="1" applyProtection="1">
      <protection locked="0"/>
    </xf>
    <xf numFmtId="0" fontId="20" fillId="0" borderId="0" xfId="0" applyFont="1" applyFill="1" applyBorder="1"/>
    <xf numFmtId="174" fontId="8" fillId="0" borderId="0" xfId="0" applyNumberFormat="1" applyFont="1" applyFill="1" applyBorder="1"/>
    <xf numFmtId="7" fontId="8" fillId="0" borderId="0" xfId="0" applyNumberFormat="1" applyFont="1" applyFill="1" applyBorder="1"/>
    <xf numFmtId="7" fontId="50" fillId="0" borderId="0" xfId="0" applyNumberFormat="1" applyFont="1" applyFill="1" applyBorder="1"/>
    <xf numFmtId="174" fontId="0" fillId="2" borderId="0" xfId="0" applyNumberFormat="1" applyFont="1" applyFill="1" applyBorder="1"/>
    <xf numFmtId="165" fontId="7" fillId="0" borderId="0" xfId="0" applyNumberFormat="1" applyFont="1" applyBorder="1"/>
    <xf numFmtId="166" fontId="12" fillId="2" borderId="0" xfId="0" applyNumberFormat="1" applyFont="1" applyFill="1" applyBorder="1"/>
    <xf numFmtId="166" fontId="12" fillId="2" borderId="0" xfId="0" applyNumberFormat="1" applyFont="1" applyFill="1" applyBorder="1" applyAlignment="1">
      <alignment horizontal="centerContinuous"/>
    </xf>
    <xf numFmtId="164" fontId="70" fillId="0" borderId="0" xfId="0" applyNumberFormat="1" applyFont="1" applyFill="1" applyBorder="1"/>
    <xf numFmtId="0" fontId="0" fillId="2" borderId="0" xfId="0" applyFill="1" applyBorder="1"/>
    <xf numFmtId="0" fontId="0" fillId="2" borderId="0" xfId="0" applyFill="1" applyBorder="1" applyAlignment="1">
      <alignment horizontal="centerContinuous"/>
    </xf>
    <xf numFmtId="164" fontId="7" fillId="2" borderId="0" xfId="0" applyNumberFormat="1" applyFont="1" applyFill="1" applyBorder="1"/>
    <xf numFmtId="165" fontId="4" fillId="0" borderId="0" xfId="0" applyNumberFormat="1" applyFont="1" applyBorder="1"/>
    <xf numFmtId="166" fontId="0" fillId="2" borderId="0" xfId="0" applyNumberFormat="1" applyFont="1" applyFill="1" applyBorder="1"/>
    <xf numFmtId="166" fontId="8" fillId="2" borderId="0" xfId="0" applyNumberFormat="1" applyFont="1" applyFill="1" applyBorder="1" applyAlignment="1">
      <alignment horizontal="centerContinuous"/>
    </xf>
    <xf numFmtId="166" fontId="0" fillId="2" borderId="0" xfId="0" applyNumberFormat="1" applyFill="1" applyBorder="1"/>
    <xf numFmtId="0" fontId="13" fillId="2" borderId="0" xfId="0" applyNumberFormat="1" applyFont="1" applyFill="1" applyBorder="1"/>
    <xf numFmtId="0" fontId="8" fillId="2" borderId="0" xfId="0" applyNumberFormat="1" applyFont="1" applyFill="1" applyBorder="1" applyAlignment="1">
      <alignment horizontal="centerContinuous"/>
    </xf>
    <xf numFmtId="166" fontId="13" fillId="2" borderId="0" xfId="0" applyNumberFormat="1" applyFont="1" applyFill="1" applyBorder="1"/>
    <xf numFmtId="7" fontId="15" fillId="0" borderId="0" xfId="0" applyNumberFormat="1" applyFont="1" applyFill="1" applyBorder="1"/>
    <xf numFmtId="164" fontId="7" fillId="0" borderId="0" xfId="0" applyNumberFormat="1" applyFont="1" applyBorder="1" applyAlignment="1">
      <alignment horizontal="right"/>
    </xf>
    <xf numFmtId="174" fontId="0" fillId="0" borderId="0" xfId="0" applyNumberFormat="1"/>
    <xf numFmtId="7" fontId="54" fillId="0" borderId="0" xfId="0" applyNumberFormat="1" applyFont="1" applyFill="1" applyBorder="1" applyAlignment="1">
      <alignment horizontal="left"/>
    </xf>
    <xf numFmtId="164" fontId="8" fillId="0" borderId="7" xfId="0" applyNumberFormat="1" applyFont="1" applyBorder="1"/>
    <xf numFmtId="0" fontId="6" fillId="0" borderId="7" xfId="0" applyFont="1" applyBorder="1"/>
    <xf numFmtId="164" fontId="0" fillId="0" borderId="12" xfId="0" applyNumberFormat="1" applyBorder="1"/>
    <xf numFmtId="166" fontId="4" fillId="0" borderId="7" xfId="0" applyNumberFormat="1" applyFont="1" applyBorder="1"/>
    <xf numFmtId="0" fontId="0" fillId="2" borderId="7" xfId="0" applyFill="1" applyBorder="1"/>
    <xf numFmtId="0" fontId="0" fillId="2" borderId="7" xfId="0" applyFill="1" applyBorder="1" applyAlignment="1">
      <alignment horizontal="centerContinuous"/>
    </xf>
    <xf numFmtId="164" fontId="7" fillId="2" borderId="7" xfId="0" applyNumberFormat="1" applyFont="1" applyFill="1" applyBorder="1"/>
    <xf numFmtId="164" fontId="16" fillId="0" borderId="12" xfId="0" applyNumberFormat="1" applyFont="1" applyFill="1" applyBorder="1"/>
    <xf numFmtId="166" fontId="12" fillId="2" borderId="7" xfId="0" applyNumberFormat="1" applyFont="1" applyFill="1" applyBorder="1"/>
    <xf numFmtId="166" fontId="12" fillId="2" borderId="7" xfId="0" applyNumberFormat="1" applyFont="1" applyFill="1" applyBorder="1" applyAlignment="1">
      <alignment horizontal="centerContinuous"/>
    </xf>
    <xf numFmtId="167" fontId="7" fillId="0" borderId="7" xfId="0" applyNumberFormat="1" applyFont="1" applyFill="1" applyBorder="1"/>
    <xf numFmtId="167" fontId="13" fillId="0" borderId="7" xfId="0" applyNumberFormat="1" applyFont="1" applyFill="1" applyBorder="1"/>
    <xf numFmtId="166" fontId="0" fillId="0" borderId="1" xfId="0" applyNumberFormat="1" applyFont="1" applyBorder="1"/>
    <xf numFmtId="166" fontId="0" fillId="0" borderId="11" xfId="0" applyNumberFormat="1" applyBorder="1"/>
    <xf numFmtId="0" fontId="6" fillId="0" borderId="15" xfId="0" applyFont="1" applyFill="1" applyBorder="1"/>
    <xf numFmtId="166" fontId="6" fillId="0" borderId="15" xfId="0" applyNumberFormat="1" applyFont="1" applyFill="1" applyBorder="1" applyAlignment="1">
      <alignment horizontal="left"/>
    </xf>
    <xf numFmtId="164" fontId="7" fillId="0" borderId="15" xfId="0" applyNumberFormat="1" applyFont="1" applyFill="1" applyBorder="1"/>
    <xf numFmtId="14" fontId="24" fillId="0" borderId="2" xfId="0" applyNumberFormat="1" applyFont="1" applyBorder="1" applyAlignment="1">
      <alignment horizontal="centerContinuous"/>
    </xf>
    <xf numFmtId="0" fontId="14" fillId="0" borderId="4" xfId="0" applyFont="1" applyFill="1" applyBorder="1" applyAlignment="1">
      <alignment horizontal="centerContinuous"/>
    </xf>
    <xf numFmtId="0" fontId="19" fillId="0" borderId="7" xfId="0" applyFont="1" applyBorder="1" applyAlignment="1">
      <alignment horizontal="center"/>
    </xf>
    <xf numFmtId="0" fontId="1" fillId="0" borderId="7" xfId="0" applyFont="1" applyBorder="1"/>
    <xf numFmtId="174" fontId="4" fillId="0" borderId="7" xfId="0" applyNumberFormat="1" applyFont="1" applyBorder="1"/>
    <xf numFmtId="164" fontId="16" fillId="0" borderId="23" xfId="0" applyNumberFormat="1" applyFont="1" applyBorder="1"/>
    <xf numFmtId="174" fontId="4" fillId="0" borderId="7" xfId="0" applyNumberFormat="1" applyFont="1" applyBorder="1" applyAlignment="1">
      <alignment horizontal="right"/>
    </xf>
    <xf numFmtId="0" fontId="1" fillId="0" borderId="7" xfId="0" applyFont="1" applyBorder="1" applyAlignment="1">
      <alignment horizontal="right"/>
    </xf>
    <xf numFmtId="174" fontId="16" fillId="0" borderId="7" xfId="0" applyNumberFormat="1" applyFont="1" applyBorder="1" applyAlignment="1">
      <alignment horizontal="right"/>
    </xf>
    <xf numFmtId="174" fontId="44" fillId="0" borderId="7" xfId="0" applyNumberFormat="1" applyFont="1" applyBorder="1" applyAlignment="1">
      <alignment horizontal="right"/>
    </xf>
    <xf numFmtId="0" fontId="4" fillId="0" borderId="7" xfId="0" applyFont="1" applyBorder="1"/>
    <xf numFmtId="166" fontId="12" fillId="0" borderId="7" xfId="0" applyNumberFormat="1" applyFont="1" applyBorder="1"/>
    <xf numFmtId="176" fontId="1" fillId="0" borderId="7" xfId="0" applyNumberFormat="1" applyFont="1" applyBorder="1"/>
    <xf numFmtId="0" fontId="6" fillId="0" borderId="7" xfId="0" applyFont="1" applyBorder="1" applyAlignment="1">
      <alignment horizontal="center"/>
    </xf>
    <xf numFmtId="166" fontId="1" fillId="0" borderId="7" xfId="0" applyNumberFormat="1" applyFont="1" applyBorder="1"/>
    <xf numFmtId="174" fontId="1" fillId="0" borderId="7" xfId="0" applyNumberFormat="1" applyFont="1" applyBorder="1"/>
    <xf numFmtId="164" fontId="12" fillId="0" borderId="7" xfId="0" applyNumberFormat="1" applyFont="1" applyBorder="1"/>
    <xf numFmtId="180" fontId="13" fillId="0" borderId="7" xfId="0" applyNumberFormat="1" applyFont="1" applyBorder="1" applyAlignment="1"/>
    <xf numFmtId="5" fontId="16" fillId="0" borderId="7" xfId="0" applyNumberFormat="1" applyFont="1" applyBorder="1"/>
    <xf numFmtId="37" fontId="7" fillId="0" borderId="7" xfId="0" applyNumberFormat="1" applyFont="1" applyBorder="1"/>
    <xf numFmtId="176" fontId="1" fillId="0" borderId="7" xfId="0" applyNumberFormat="1" applyFont="1" applyBorder="1" applyAlignment="1">
      <alignment horizontal="right"/>
    </xf>
    <xf numFmtId="167" fontId="7" fillId="0" borderId="11" xfId="0" applyNumberFormat="1" applyFont="1" applyFill="1" applyBorder="1"/>
    <xf numFmtId="167" fontId="7" fillId="0" borderId="12" xfId="0" applyNumberFormat="1" applyFont="1" applyFill="1" applyBorder="1"/>
    <xf numFmtId="167" fontId="13" fillId="0" borderId="11" xfId="0" applyNumberFormat="1" applyFont="1" applyBorder="1"/>
    <xf numFmtId="167" fontId="16" fillId="0" borderId="11" xfId="0" applyNumberFormat="1" applyFont="1" applyFill="1" applyBorder="1"/>
    <xf numFmtId="167" fontId="16" fillId="0" borderId="12" xfId="0" applyNumberFormat="1" applyFont="1" applyFill="1" applyBorder="1"/>
    <xf numFmtId="7" fontId="20" fillId="0" borderId="0" xfId="0" applyNumberFormat="1" applyFont="1" applyFill="1" applyBorder="1"/>
    <xf numFmtId="167" fontId="15" fillId="0" borderId="0" xfId="0" applyNumberFormat="1" applyFont="1" applyFill="1" applyBorder="1"/>
    <xf numFmtId="7" fontId="69" fillId="0" borderId="0" xfId="0" applyNumberFormat="1" applyFont="1" applyFill="1" applyBorder="1" applyAlignment="1">
      <alignment horizontal="centerContinuous"/>
    </xf>
    <xf numFmtId="7" fontId="0" fillId="0" borderId="0" xfId="0" applyNumberFormat="1"/>
    <xf numFmtId="166" fontId="58" fillId="0" borderId="0" xfId="0" applyNumberFormat="1" applyFont="1" applyAlignment="1">
      <alignment horizontal="center"/>
    </xf>
    <xf numFmtId="164" fontId="4" fillId="0" borderId="0" xfId="0" applyNumberFormat="1" applyFont="1"/>
    <xf numFmtId="164" fontId="75" fillId="0" borderId="0" xfId="0" applyNumberFormat="1" applyFont="1"/>
    <xf numFmtId="164" fontId="75" fillId="0" borderId="7" xfId="0" applyNumberFormat="1" applyFont="1" applyBorder="1"/>
    <xf numFmtId="164" fontId="73" fillId="0" borderId="0" xfId="0" applyNumberFormat="1" applyFont="1"/>
    <xf numFmtId="164" fontId="13" fillId="0" borderId="0" xfId="0" applyNumberFormat="1" applyFont="1" applyFill="1" applyAlignment="1">
      <alignment horizontal="right"/>
    </xf>
    <xf numFmtId="0" fontId="8" fillId="0" borderId="0" xfId="0" applyFont="1" applyFill="1" applyBorder="1" applyAlignment="1">
      <alignment horizontal="centerContinuous"/>
    </xf>
    <xf numFmtId="7" fontId="13" fillId="0" borderId="0" xfId="0" applyNumberFormat="1" applyFont="1" applyBorder="1"/>
    <xf numFmtId="0" fontId="72" fillId="0" borderId="2" xfId="0" applyFont="1" applyBorder="1" applyAlignment="1">
      <alignment horizontal="centerContinuous"/>
    </xf>
    <xf numFmtId="0" fontId="0" fillId="0" borderId="0" xfId="0" applyAlignment="1">
      <alignment horizontal="centerContinuous"/>
    </xf>
    <xf numFmtId="164" fontId="0" fillId="0" borderId="0" xfId="0" applyNumberFormat="1" applyFont="1" applyFill="1" applyBorder="1"/>
    <xf numFmtId="8" fontId="38" fillId="0" borderId="0" xfId="0" applyNumberFormat="1" applyFont="1" applyFill="1" applyAlignment="1">
      <alignment horizontal="right"/>
    </xf>
    <xf numFmtId="165" fontId="38" fillId="0" borderId="0" xfId="0" applyNumberFormat="1" applyFont="1" applyFill="1" applyAlignment="1">
      <alignment horizontal="right"/>
    </xf>
    <xf numFmtId="0" fontId="55" fillId="0" borderId="0" xfId="0" applyFont="1" applyFill="1" applyBorder="1" applyAlignment="1">
      <alignment horizontal="centerContinuous"/>
    </xf>
    <xf numFmtId="166" fontId="76" fillId="0" borderId="0" xfId="0" applyNumberFormat="1" applyFont="1" applyFill="1"/>
    <xf numFmtId="166" fontId="76" fillId="0" borderId="0" xfId="0" applyNumberFormat="1" applyFont="1" applyFill="1" applyBorder="1"/>
    <xf numFmtId="172" fontId="6" fillId="0" borderId="0" xfId="0" applyNumberFormat="1" applyFont="1" applyFill="1" applyBorder="1"/>
    <xf numFmtId="0" fontId="0" fillId="0" borderId="2" xfId="0" applyFont="1" applyFill="1" applyBorder="1" applyAlignment="1">
      <alignment horizontal="centerContinuous"/>
    </xf>
    <xf numFmtId="0" fontId="0" fillId="0" borderId="3" xfId="0" applyFont="1" applyBorder="1" applyAlignment="1">
      <alignment horizontal="centerContinuous"/>
    </xf>
    <xf numFmtId="165" fontId="0" fillId="0" borderId="0" xfId="0" applyNumberFormat="1" applyFont="1" applyBorder="1"/>
    <xf numFmtId="166" fontId="0" fillId="0" borderId="0" xfId="0" applyNumberFormat="1" applyBorder="1" applyAlignment="1">
      <alignment horizontal="right"/>
    </xf>
    <xf numFmtId="166" fontId="7" fillId="0" borderId="0" xfId="0" applyNumberFormat="1" applyFont="1" applyBorder="1" applyAlignment="1">
      <alignment horizontal="right"/>
    </xf>
    <xf numFmtId="174" fontId="0" fillId="0" borderId="0" xfId="0" applyNumberFormat="1" applyFont="1" applyFill="1" applyBorder="1" applyAlignment="1">
      <alignment horizontal="right"/>
    </xf>
    <xf numFmtId="166" fontId="79" fillId="0" borderId="0" xfId="0" applyNumberFormat="1" applyFont="1"/>
    <xf numFmtId="180" fontId="7" fillId="0" borderId="0" xfId="0" applyNumberFormat="1" applyFont="1" applyAlignment="1">
      <alignment horizontal="centerContinuous"/>
    </xf>
    <xf numFmtId="167" fontId="7" fillId="0" borderId="0" xfId="0" applyNumberFormat="1" applyFont="1" applyAlignment="1">
      <alignment horizontal="centerContinuous"/>
    </xf>
    <xf numFmtId="7" fontId="7" fillId="0" borderId="0" xfId="0" applyNumberFormat="1" applyFont="1" applyAlignment="1">
      <alignment horizontal="centerContinuous"/>
    </xf>
    <xf numFmtId="0" fontId="15" fillId="0" borderId="0" xfId="0" applyFont="1" applyAlignment="1">
      <alignment horizontal="centerContinuous"/>
    </xf>
    <xf numFmtId="174" fontId="7" fillId="0" borderId="0" xfId="0" applyNumberFormat="1" applyFont="1" applyAlignment="1">
      <alignment horizontal="centerContinuous"/>
    </xf>
    <xf numFmtId="166" fontId="79" fillId="0" borderId="0" xfId="0" applyNumberFormat="1" applyFont="1" applyFill="1"/>
    <xf numFmtId="0" fontId="0" fillId="0" borderId="7" xfId="0" applyFont="1" applyFill="1" applyBorder="1"/>
    <xf numFmtId="166" fontId="6" fillId="0" borderId="15" xfId="0" applyNumberFormat="1" applyFont="1" applyFill="1" applyBorder="1"/>
    <xf numFmtId="166" fontId="7" fillId="0" borderId="15" xfId="0" applyNumberFormat="1" applyFont="1" applyFill="1" applyBorder="1"/>
    <xf numFmtId="166" fontId="5" fillId="0" borderId="15" xfId="0" applyNumberFormat="1" applyFont="1" applyFill="1" applyBorder="1"/>
    <xf numFmtId="164" fontId="13" fillId="0" borderId="15" xfId="0" applyNumberFormat="1" applyFont="1" applyFill="1" applyBorder="1"/>
    <xf numFmtId="164" fontId="12" fillId="0" borderId="15" xfId="0" applyNumberFormat="1" applyFont="1" applyFill="1" applyBorder="1" applyAlignment="1">
      <alignment horizontal="right"/>
    </xf>
    <xf numFmtId="7" fontId="80" fillId="0" borderId="0" xfId="0" applyNumberFormat="1" applyFont="1" applyFill="1" applyBorder="1"/>
    <xf numFmtId="174" fontId="54" fillId="0" borderId="0" xfId="0" applyNumberFormat="1" applyFont="1" applyFill="1" applyBorder="1" applyAlignment="1">
      <alignment horizontal="right"/>
    </xf>
    <xf numFmtId="166" fontId="0" fillId="0" borderId="11" xfId="0" applyNumberFormat="1" applyFill="1" applyBorder="1"/>
    <xf numFmtId="7" fontId="77" fillId="0" borderId="0" xfId="0" applyNumberFormat="1" applyFont="1" applyFill="1" applyBorder="1" applyAlignment="1">
      <alignment horizontal="left"/>
    </xf>
    <xf numFmtId="166" fontId="55" fillId="0" borderId="0" xfId="0" applyNumberFormat="1" applyFont="1" applyFill="1"/>
    <xf numFmtId="175" fontId="33" fillId="0" borderId="11" xfId="0" quotePrefix="1" applyNumberFormat="1" applyFont="1" applyFill="1" applyBorder="1"/>
    <xf numFmtId="0" fontId="33" fillId="0" borderId="11" xfId="0" applyFont="1" applyFill="1" applyBorder="1"/>
    <xf numFmtId="0" fontId="49" fillId="0" borderId="11" xfId="0" applyFont="1" applyFill="1" applyBorder="1"/>
    <xf numFmtId="0" fontId="14" fillId="0" borderId="11" xfId="0" applyFont="1" applyFill="1" applyBorder="1"/>
    <xf numFmtId="0" fontId="81" fillId="0" borderId="0" xfId="0" applyFont="1" applyFill="1"/>
    <xf numFmtId="174" fontId="7" fillId="0" borderId="0" xfId="0" applyNumberFormat="1" applyFont="1" applyFill="1" applyBorder="1"/>
    <xf numFmtId="164" fontId="82" fillId="0" borderId="15" xfId="0" applyNumberFormat="1" applyFont="1" applyFill="1" applyBorder="1"/>
    <xf numFmtId="164" fontId="82" fillId="0" borderId="0" xfId="0" applyNumberFormat="1" applyFont="1" applyFill="1" applyBorder="1"/>
    <xf numFmtId="0" fontId="81" fillId="0" borderId="0" xfId="0" applyFont="1"/>
    <xf numFmtId="0" fontId="78" fillId="0" borderId="0" xfId="0" applyFont="1" applyBorder="1" applyAlignment="1"/>
    <xf numFmtId="165" fontId="82" fillId="0" borderId="0" xfId="0" applyNumberFormat="1" applyFont="1" applyBorder="1"/>
    <xf numFmtId="174" fontId="65" fillId="0" borderId="0" xfId="0" applyNumberFormat="1" applyFont="1" applyFill="1" applyAlignment="1">
      <alignment horizontal="centerContinuous"/>
    </xf>
    <xf numFmtId="165" fontId="81" fillId="0" borderId="0" xfId="0" applyNumberFormat="1" applyFont="1" applyBorder="1" applyAlignment="1">
      <alignment horizontal="left"/>
    </xf>
    <xf numFmtId="165" fontId="82" fillId="0" borderId="0" xfId="0" applyNumberFormat="1" applyFont="1"/>
    <xf numFmtId="174" fontId="65" fillId="0" borderId="0" xfId="0" applyNumberFormat="1" applyFont="1" applyFill="1" applyAlignment="1">
      <alignment horizontal="right"/>
    </xf>
    <xf numFmtId="0" fontId="4" fillId="0" borderId="0" xfId="0" applyFont="1" applyProtection="1">
      <protection locked="0"/>
    </xf>
    <xf numFmtId="164" fontId="74" fillId="0" borderId="0" xfId="0" applyNumberFormat="1" applyFont="1" applyFill="1" applyBorder="1"/>
    <xf numFmtId="166" fontId="7" fillId="0" borderId="0" xfId="0" applyNumberFormat="1" applyFont="1" applyFill="1" applyBorder="1" applyAlignment="1">
      <alignment horizontal="right"/>
    </xf>
    <xf numFmtId="166" fontId="7" fillId="0" borderId="7" xfId="0" applyNumberFormat="1" applyFont="1" applyFill="1" applyBorder="1" applyAlignment="1">
      <alignment horizontal="right"/>
    </xf>
    <xf numFmtId="184" fontId="4" fillId="0" borderId="0" xfId="0" applyNumberFormat="1" applyFont="1"/>
    <xf numFmtId="7" fontId="0" fillId="0" borderId="0" xfId="0" applyNumberFormat="1" applyFont="1" applyFill="1" applyBorder="1"/>
    <xf numFmtId="174" fontId="13" fillId="0" borderId="0" xfId="0" applyNumberFormat="1" applyFont="1" applyBorder="1"/>
    <xf numFmtId="174" fontId="0" fillId="0" borderId="0" xfId="0" applyNumberFormat="1" applyFill="1"/>
    <xf numFmtId="166" fontId="82" fillId="0" borderId="0" xfId="0" applyNumberFormat="1" applyFont="1" applyFill="1"/>
    <xf numFmtId="0" fontId="0" fillId="0" borderId="9" xfId="0" applyFont="1" applyFill="1" applyBorder="1"/>
    <xf numFmtId="0" fontId="0" fillId="0" borderId="10" xfId="0" applyFont="1" applyFill="1" applyBorder="1"/>
    <xf numFmtId="167" fontId="82" fillId="0" borderId="0" xfId="0" applyNumberFormat="1" applyFont="1" applyBorder="1"/>
    <xf numFmtId="165" fontId="7" fillId="0" borderId="0" xfId="0" applyNumberFormat="1" applyFont="1" applyFill="1" applyAlignment="1">
      <alignment horizontal="right"/>
    </xf>
    <xf numFmtId="164" fontId="7" fillId="0" borderId="0" xfId="0" applyNumberFormat="1" applyFont="1" applyFill="1" applyAlignment="1">
      <alignment horizontal="right"/>
    </xf>
    <xf numFmtId="165" fontId="7" fillId="0" borderId="0" xfId="0" applyNumberFormat="1" applyFont="1" applyFill="1"/>
    <xf numFmtId="164" fontId="0" fillId="0" borderId="15" xfId="0" applyNumberFormat="1" applyBorder="1"/>
    <xf numFmtId="185" fontId="12" fillId="0" borderId="15" xfId="0" applyNumberFormat="1" applyFont="1" applyFill="1" applyBorder="1"/>
    <xf numFmtId="0" fontId="0" fillId="0" borderId="15" xfId="0" applyBorder="1"/>
    <xf numFmtId="169" fontId="55" fillId="0" borderId="15" xfId="0" applyNumberFormat="1" applyFont="1" applyFill="1" applyBorder="1"/>
    <xf numFmtId="0" fontId="0" fillId="0" borderId="19" xfId="0" applyFont="1" applyFill="1" applyBorder="1"/>
    <xf numFmtId="177" fontId="82" fillId="0" borderId="0" xfId="0" applyNumberFormat="1" applyFont="1" applyFill="1" applyBorder="1"/>
    <xf numFmtId="177" fontId="82" fillId="0" borderId="0" xfId="0" applyNumberFormat="1" applyFont="1" applyAlignment="1">
      <alignment horizontal="center"/>
    </xf>
    <xf numFmtId="177" fontId="13" fillId="0" borderId="0" xfId="0" applyNumberFormat="1" applyFont="1" applyFill="1" applyBorder="1"/>
    <xf numFmtId="186" fontId="82" fillId="0" borderId="0" xfId="0" applyNumberFormat="1" applyFont="1" applyFill="1" applyBorder="1"/>
    <xf numFmtId="186" fontId="13" fillId="0" borderId="0" xfId="0" applyNumberFormat="1" applyFont="1" applyFill="1" applyBorder="1"/>
    <xf numFmtId="171" fontId="13" fillId="0" borderId="0" xfId="0" applyNumberFormat="1" applyFont="1" applyFill="1" applyBorder="1"/>
    <xf numFmtId="172" fontId="70" fillId="0" borderId="0" xfId="0" applyNumberFormat="1" applyFont="1" applyFill="1" applyBorder="1"/>
    <xf numFmtId="172" fontId="6" fillId="0" borderId="11" xfId="0" applyNumberFormat="1" applyFont="1" applyBorder="1"/>
    <xf numFmtId="166" fontId="79" fillId="0" borderId="0" xfId="0" applyNumberFormat="1" applyFont="1" applyBorder="1"/>
    <xf numFmtId="7" fontId="79" fillId="0" borderId="0" xfId="0" applyNumberFormat="1" applyFont="1" applyBorder="1"/>
    <xf numFmtId="168" fontId="7" fillId="0" borderId="0" xfId="0" applyNumberFormat="1" applyFont="1" applyFill="1" applyBorder="1"/>
    <xf numFmtId="0" fontId="20" fillId="0" borderId="0" xfId="0" applyFont="1" applyBorder="1"/>
    <xf numFmtId="7" fontId="7" fillId="0" borderId="0" xfId="0" applyNumberFormat="1" applyFont="1" applyFill="1" applyBorder="1"/>
    <xf numFmtId="167" fontId="55" fillId="0" borderId="0" xfId="0" applyNumberFormat="1" applyFont="1" applyBorder="1"/>
    <xf numFmtId="0" fontId="83" fillId="0" borderId="0" xfId="0" applyFont="1"/>
    <xf numFmtId="164" fontId="79" fillId="0" borderId="2" xfId="0" applyNumberFormat="1" applyFont="1" applyFill="1" applyBorder="1" applyAlignment="1">
      <alignment horizontal="centerContinuous"/>
    </xf>
    <xf numFmtId="0" fontId="84" fillId="0" borderId="0" xfId="0" applyFont="1"/>
    <xf numFmtId="166" fontId="0" fillId="0" borderId="11" xfId="0" applyNumberFormat="1" applyFont="1" applyFill="1" applyBorder="1"/>
    <xf numFmtId="166" fontId="0" fillId="0" borderId="11" xfId="0" applyNumberFormat="1" applyFont="1" applyBorder="1"/>
    <xf numFmtId="164" fontId="14" fillId="0" borderId="11" xfId="0" applyNumberFormat="1" applyFont="1" applyFill="1" applyBorder="1"/>
    <xf numFmtId="0" fontId="0" fillId="0" borderId="0" xfId="0"/>
    <xf numFmtId="0" fontId="0" fillId="0" borderId="7" xfId="0" applyFont="1" applyBorder="1"/>
    <xf numFmtId="164" fontId="0" fillId="0" borderId="7" xfId="0" applyNumberFormat="1" applyBorder="1"/>
    <xf numFmtId="164" fontId="8" fillId="0" borderId="7" xfId="0" applyNumberFormat="1" applyFont="1" applyFill="1" applyBorder="1"/>
    <xf numFmtId="164" fontId="13" fillId="0" borderId="7" xfId="0" applyNumberFormat="1" applyFont="1" applyFill="1" applyBorder="1"/>
    <xf numFmtId="166" fontId="0" fillId="0" borderId="7" xfId="0" applyNumberFormat="1" applyFont="1" applyBorder="1"/>
    <xf numFmtId="165" fontId="0" fillId="0" borderId="7" xfId="0" applyNumberFormat="1" applyFont="1" applyBorder="1"/>
    <xf numFmtId="164" fontId="7" fillId="0" borderId="0" xfId="0" applyNumberFormat="1" applyFont="1" applyAlignment="1">
      <alignment horizontal="right"/>
    </xf>
    <xf numFmtId="174" fontId="4" fillId="0" borderId="0" xfId="0" applyNumberFormat="1" applyFont="1"/>
    <xf numFmtId="164" fontId="73" fillId="0" borderId="7" xfId="0" applyNumberFormat="1" applyFont="1" applyBorder="1"/>
    <xf numFmtId="166" fontId="0" fillId="2" borderId="7" xfId="0" applyNumberFormat="1" applyFont="1" applyFill="1" applyBorder="1"/>
    <xf numFmtId="0" fontId="13" fillId="2" borderId="7" xfId="0" applyNumberFormat="1" applyFont="1" applyFill="1" applyBorder="1"/>
    <xf numFmtId="0" fontId="8" fillId="2" borderId="7" xfId="0" applyNumberFormat="1" applyFont="1" applyFill="1" applyBorder="1" applyAlignment="1">
      <alignment horizontal="centerContinuous"/>
    </xf>
    <xf numFmtId="166" fontId="13" fillId="2" borderId="7" xfId="0" applyNumberFormat="1" applyFont="1" applyFill="1" applyBorder="1"/>
    <xf numFmtId="167" fontId="7" fillId="0" borderId="7" xfId="0" applyNumberFormat="1" applyFont="1" applyBorder="1"/>
    <xf numFmtId="164" fontId="7" fillId="0" borderId="7" xfId="0" applyNumberFormat="1" applyFont="1" applyBorder="1"/>
    <xf numFmtId="7" fontId="15" fillId="0" borderId="7" xfId="0" applyNumberFormat="1" applyFont="1" applyFill="1" applyBorder="1"/>
    <xf numFmtId="178" fontId="13" fillId="2" borderId="7" xfId="0" applyNumberFormat="1" applyFont="1" applyFill="1" applyBorder="1"/>
    <xf numFmtId="0" fontId="7" fillId="0" borderId="7" xfId="0" applyFont="1" applyBorder="1"/>
    <xf numFmtId="164" fontId="7" fillId="0" borderId="7" xfId="0" applyNumberFormat="1" applyFont="1" applyBorder="1" applyAlignment="1">
      <alignment horizontal="right"/>
    </xf>
    <xf numFmtId="165" fontId="13" fillId="0" borderId="7" xfId="0" applyNumberFormat="1" applyFont="1" applyBorder="1"/>
    <xf numFmtId="166" fontId="0" fillId="0" borderId="12" xfId="0" applyNumberFormat="1" applyBorder="1"/>
    <xf numFmtId="166" fontId="12" fillId="0" borderId="7" xfId="0" applyNumberFormat="1" applyFont="1" applyFill="1" applyBorder="1"/>
    <xf numFmtId="164" fontId="8" fillId="0" borderId="12" xfId="0" applyNumberFormat="1" applyFont="1" applyFill="1" applyBorder="1"/>
    <xf numFmtId="167" fontId="10" fillId="0" borderId="7" xfId="0" applyNumberFormat="1" applyFont="1" applyFill="1" applyBorder="1" applyAlignment="1">
      <alignment horizontal="right"/>
    </xf>
    <xf numFmtId="172" fontId="71" fillId="0" borderId="7" xfId="0" applyNumberFormat="1" applyFont="1" applyFill="1" applyBorder="1"/>
    <xf numFmtId="164" fontId="7" fillId="0" borderId="7" xfId="0" applyNumberFormat="1" applyFont="1" applyFill="1" applyBorder="1"/>
    <xf numFmtId="166" fontId="0" fillId="0" borderId="12" xfId="0" applyNumberFormat="1" applyFont="1" applyFill="1" applyBorder="1"/>
    <xf numFmtId="166" fontId="0" fillId="0" borderId="7" xfId="0" applyNumberFormat="1" applyFill="1" applyBorder="1"/>
    <xf numFmtId="166" fontId="0" fillId="0" borderId="12" xfId="0" applyNumberFormat="1" applyFont="1" applyBorder="1"/>
    <xf numFmtId="166" fontId="0" fillId="0" borderId="7" xfId="0" applyNumberFormat="1" applyBorder="1"/>
    <xf numFmtId="164" fontId="14" fillId="0" borderId="12" xfId="0" applyNumberFormat="1" applyFont="1" applyFill="1" applyBorder="1"/>
    <xf numFmtId="7" fontId="8" fillId="0" borderId="7" xfId="0" applyNumberFormat="1" applyFont="1" applyBorder="1"/>
    <xf numFmtId="7" fontId="69" fillId="0" borderId="7" xfId="0" applyNumberFormat="1" applyFont="1" applyFill="1" applyBorder="1" applyAlignment="1">
      <alignment horizontal="centerContinuous"/>
    </xf>
    <xf numFmtId="174" fontId="0" fillId="0" borderId="7" xfId="0" applyNumberFormat="1" applyFont="1" applyFill="1" applyBorder="1"/>
    <xf numFmtId="169" fontId="0" fillId="0" borderId="7" xfId="0" applyNumberFormat="1" applyFont="1" applyFill="1" applyBorder="1"/>
    <xf numFmtId="164" fontId="0" fillId="0" borderId="7" xfId="0" applyNumberFormat="1" applyFont="1" applyFill="1" applyBorder="1"/>
    <xf numFmtId="167" fontId="79" fillId="0" borderId="0" xfId="0" applyNumberFormat="1" applyFont="1" applyFill="1" applyBorder="1"/>
    <xf numFmtId="165" fontId="1" fillId="0" borderId="0" xfId="0" applyNumberFormat="1" applyFont="1" applyBorder="1"/>
    <xf numFmtId="0" fontId="32" fillId="0" borderId="0" xfId="1"/>
    <xf numFmtId="0" fontId="13" fillId="2" borderId="7" xfId="0" applyFont="1" applyFill="1" applyBorder="1"/>
    <xf numFmtId="0" fontId="15" fillId="2" borderId="7" xfId="0" applyFont="1" applyFill="1" applyBorder="1" applyAlignment="1">
      <alignment horizontal="right"/>
    </xf>
    <xf numFmtId="164" fontId="13" fillId="2" borderId="7" xfId="0" applyNumberFormat="1" applyFont="1" applyFill="1" applyBorder="1"/>
    <xf numFmtId="166" fontId="7" fillId="2" borderId="7" xfId="0" applyNumberFormat="1" applyFont="1" applyFill="1" applyBorder="1"/>
    <xf numFmtId="166" fontId="7" fillId="0" borderId="29" xfId="0" applyNumberFormat="1" applyFont="1" applyBorder="1"/>
    <xf numFmtId="0" fontId="8" fillId="0" borderId="7" xfId="0" applyFont="1" applyFill="1" applyBorder="1"/>
    <xf numFmtId="164" fontId="16" fillId="0" borderId="7" xfId="0" applyNumberFormat="1" applyFont="1" applyFill="1" applyBorder="1"/>
    <xf numFmtId="7" fontId="85" fillId="0" borderId="7" xfId="0" applyNumberFormat="1" applyFont="1" applyBorder="1" applyAlignment="1">
      <alignment horizontal="left"/>
    </xf>
    <xf numFmtId="0" fontId="0" fillId="0" borderId="0" xfId="0"/>
    <xf numFmtId="166" fontId="16" fillId="0" borderId="0" xfId="0" applyNumberFormat="1" applyFont="1" applyBorder="1" applyAlignment="1">
      <alignment horizontal="right"/>
    </xf>
    <xf numFmtId="0" fontId="11" fillId="0" borderId="0" xfId="0" applyFont="1" applyBorder="1"/>
    <xf numFmtId="0" fontId="87" fillId="0" borderId="0" xfId="0" applyFont="1" applyBorder="1" applyAlignment="1" applyProtection="1">
      <protection locked="0"/>
    </xf>
    <xf numFmtId="0" fontId="87" fillId="0" borderId="0" xfId="0" applyFont="1" applyBorder="1"/>
    <xf numFmtId="0" fontId="9" fillId="0" borderId="0" xfId="0" applyFont="1" applyBorder="1"/>
    <xf numFmtId="0" fontId="4" fillId="0" borderId="1" xfId="0" applyFont="1" applyBorder="1"/>
    <xf numFmtId="0" fontId="1" fillId="0" borderId="1" xfId="0" applyFont="1" applyBorder="1" applyAlignment="1"/>
    <xf numFmtId="0" fontId="8" fillId="0" borderId="1" xfId="0" applyFont="1" applyBorder="1"/>
    <xf numFmtId="0" fontId="1" fillId="0" borderId="1" xfId="0" applyFont="1" applyBorder="1"/>
    <xf numFmtId="0" fontId="1" fillId="0" borderId="0" xfId="0" applyFont="1" applyBorder="1"/>
    <xf numFmtId="0" fontId="4" fillId="0" borderId="0" xfId="0" applyFont="1" applyBorder="1"/>
    <xf numFmtId="0" fontId="1" fillId="0" borderId="0" xfId="0" applyFont="1" applyBorder="1" applyAlignment="1"/>
    <xf numFmtId="0" fontId="8" fillId="0" borderId="0" xfId="0" applyFont="1" applyBorder="1"/>
    <xf numFmtId="0" fontId="1" fillId="0" borderId="0" xfId="0" applyFont="1"/>
    <xf numFmtId="0" fontId="12" fillId="0" borderId="30" xfId="0" applyFont="1" applyFill="1" applyBorder="1" applyAlignment="1">
      <alignment horizontal="centerContinuous"/>
    </xf>
    <xf numFmtId="0" fontId="8" fillId="0" borderId="30" xfId="0" applyFont="1" applyFill="1" applyBorder="1" applyAlignment="1">
      <alignment horizontal="centerContinuous"/>
    </xf>
    <xf numFmtId="0" fontId="12" fillId="0" borderId="5" xfId="0" applyFont="1" applyFill="1" applyBorder="1" applyAlignment="1">
      <alignment horizontal="centerContinuous"/>
    </xf>
    <xf numFmtId="0" fontId="7" fillId="0" borderId="3" xfId="0" applyFont="1" applyFill="1" applyBorder="1" applyAlignment="1">
      <alignment horizontal="centerContinuous"/>
    </xf>
    <xf numFmtId="0" fontId="7" fillId="0" borderId="4" xfId="0" applyFont="1" applyFill="1" applyBorder="1" applyAlignment="1">
      <alignment horizontal="centerContinuous"/>
    </xf>
    <xf numFmtId="0" fontId="1" fillId="0" borderId="0" xfId="0" quotePrefix="1" applyFont="1" applyAlignment="1">
      <alignment horizontal="center"/>
    </xf>
    <xf numFmtId="172" fontId="1" fillId="0" borderId="30" xfId="0" applyNumberFormat="1" applyFont="1" applyFill="1" applyBorder="1" applyAlignment="1">
      <alignment horizontal="right"/>
    </xf>
    <xf numFmtId="0" fontId="1" fillId="0" borderId="0" xfId="0" applyFont="1" applyAlignment="1">
      <alignment horizontal="center"/>
    </xf>
    <xf numFmtId="0" fontId="1" fillId="0" borderId="11" xfId="0" applyFont="1" applyBorder="1"/>
    <xf numFmtId="0" fontId="1" fillId="0" borderId="0" xfId="0" applyFont="1" applyAlignment="1">
      <alignment horizontal="left"/>
    </xf>
    <xf numFmtId="164" fontId="16" fillId="0" borderId="0" xfId="0" applyNumberFormat="1" applyFont="1" applyProtection="1"/>
    <xf numFmtId="174" fontId="1" fillId="0" borderId="0" xfId="0" applyNumberFormat="1" applyFont="1" applyAlignment="1">
      <alignment horizontal="center"/>
    </xf>
    <xf numFmtId="166" fontId="16" fillId="0" borderId="0" xfId="0" applyNumberFormat="1" applyFont="1" applyProtection="1"/>
    <xf numFmtId="166" fontId="16" fillId="0" borderId="0" xfId="0" applyNumberFormat="1" applyFont="1" applyFill="1" applyProtection="1"/>
    <xf numFmtId="166" fontId="1" fillId="0" borderId="11" xfId="0" applyNumberFormat="1" applyFont="1" applyBorder="1" applyProtection="1"/>
    <xf numFmtId="169" fontId="7" fillId="0" borderId="0" xfId="0" applyNumberFormat="1" applyFont="1" applyFill="1" applyBorder="1"/>
    <xf numFmtId="166" fontId="1" fillId="0" borderId="0" xfId="0" applyNumberFormat="1" applyFont="1" applyBorder="1" applyProtection="1"/>
    <xf numFmtId="166" fontId="1" fillId="0" borderId="0" xfId="0" applyNumberFormat="1" applyFont="1"/>
    <xf numFmtId="166" fontId="1" fillId="0" borderId="0" xfId="0" applyNumberFormat="1" applyFont="1" applyProtection="1"/>
    <xf numFmtId="166" fontId="16" fillId="0" borderId="0" xfId="0" applyNumberFormat="1" applyFont="1"/>
    <xf numFmtId="166" fontId="1" fillId="0" borderId="0" xfId="0" applyNumberFormat="1" applyFont="1" applyBorder="1"/>
    <xf numFmtId="166" fontId="1" fillId="0" borderId="11" xfId="0" applyNumberFormat="1" applyFont="1" applyBorder="1"/>
    <xf numFmtId="0" fontId="8" fillId="0" borderId="0" xfId="0" applyFont="1" applyAlignment="1">
      <alignment horizontal="left"/>
    </xf>
    <xf numFmtId="0" fontId="8" fillId="0" borderId="0" xfId="0" applyFont="1"/>
    <xf numFmtId="166" fontId="8" fillId="0" borderId="0" xfId="0" applyNumberFormat="1" applyFont="1" applyProtection="1"/>
    <xf numFmtId="164" fontId="8" fillId="0" borderId="0" xfId="0" applyNumberFormat="1" applyFont="1" applyProtection="1"/>
    <xf numFmtId="0" fontId="4" fillId="0" borderId="0" xfId="0" applyFont="1" applyAlignment="1">
      <alignment horizontal="left"/>
    </xf>
    <xf numFmtId="0" fontId="4" fillId="0" borderId="0" xfId="0" applyFont="1"/>
    <xf numFmtId="0" fontId="4" fillId="0" borderId="0" xfId="0" applyFont="1" applyProtection="1"/>
    <xf numFmtId="174" fontId="4" fillId="0" borderId="0" xfId="0" applyNumberFormat="1" applyFont="1" applyProtection="1"/>
    <xf numFmtId="0" fontId="0" fillId="0" borderId="0" xfId="0"/>
    <xf numFmtId="0" fontId="1" fillId="0" borderId="0" xfId="0" applyFont="1" applyProtection="1"/>
    <xf numFmtId="0" fontId="14" fillId="0" borderId="5" xfId="0" applyFont="1" applyFill="1" applyBorder="1" applyAlignment="1">
      <alignment horizontal="centerContinuous"/>
    </xf>
    <xf numFmtId="0" fontId="12" fillId="0" borderId="3" xfId="0" applyFont="1" applyFill="1" applyBorder="1" applyAlignment="1">
      <alignment horizontal="centerContinuous"/>
    </xf>
    <xf numFmtId="0" fontId="12" fillId="0" borderId="4" xfId="0" applyFont="1" applyFill="1" applyBorder="1" applyAlignment="1">
      <alignment horizontal="centerContinuous"/>
    </xf>
    <xf numFmtId="0" fontId="1" fillId="0" borderId="0" xfId="0" applyFont="1" applyFill="1"/>
    <xf numFmtId="0" fontId="1" fillId="0" borderId="14" xfId="0" applyFont="1" applyBorder="1"/>
    <xf numFmtId="0" fontId="1" fillId="0" borderId="12" xfId="0" applyFont="1" applyBorder="1"/>
    <xf numFmtId="0" fontId="8" fillId="0" borderId="15" xfId="0" applyFont="1" applyBorder="1"/>
    <xf numFmtId="174" fontId="55" fillId="3" borderId="2" xfId="0" applyNumberFormat="1" applyFont="1" applyFill="1" applyBorder="1" applyAlignment="1">
      <alignment horizontal="right"/>
    </xf>
    <xf numFmtId="174" fontId="8" fillId="0" borderId="2" xfId="0" applyNumberFormat="1" applyFont="1" applyFill="1" applyBorder="1" applyAlignment="1">
      <alignment horizontal="right"/>
    </xf>
    <xf numFmtId="0" fontId="1" fillId="0" borderId="15" xfId="0" applyFont="1" applyBorder="1" applyAlignment="1" applyProtection="1">
      <alignment horizontal="left"/>
    </xf>
    <xf numFmtId="0" fontId="1" fillId="0" borderId="0" xfId="0" applyFont="1" applyBorder="1" applyAlignment="1" applyProtection="1">
      <alignment horizontal="left"/>
    </xf>
    <xf numFmtId="0" fontId="1" fillId="0" borderId="0" xfId="0" applyFont="1" applyBorder="1" applyProtection="1"/>
    <xf numFmtId="164" fontId="1" fillId="0" borderId="7" xfId="0" applyNumberFormat="1" applyFont="1" applyBorder="1" applyAlignment="1" applyProtection="1">
      <alignment horizontal="right"/>
      <protection hidden="1"/>
    </xf>
    <xf numFmtId="0" fontId="1" fillId="0" borderId="15" xfId="0" applyFont="1" applyBorder="1"/>
    <xf numFmtId="0" fontId="1" fillId="0" borderId="7" xfId="0" applyFont="1" applyBorder="1" applyAlignment="1">
      <alignment horizontal="right"/>
    </xf>
    <xf numFmtId="0" fontId="8" fillId="0" borderId="15" xfId="0" applyFont="1" applyBorder="1" applyAlignment="1" applyProtection="1">
      <alignment horizontal="left"/>
    </xf>
    <xf numFmtId="174" fontId="7" fillId="3" borderId="2" xfId="0" applyNumberFormat="1" applyFont="1" applyFill="1" applyBorder="1" applyAlignment="1" applyProtection="1">
      <alignment horizontal="right"/>
      <protection locked="0"/>
    </xf>
    <xf numFmtId="176" fontId="7" fillId="0" borderId="2" xfId="0" applyNumberFormat="1" applyFont="1" applyFill="1" applyBorder="1" applyAlignment="1" applyProtection="1">
      <alignment horizontal="right"/>
      <protection locked="0"/>
    </xf>
    <xf numFmtId="0" fontId="8" fillId="0" borderId="15" xfId="0" applyFont="1" applyBorder="1" applyAlignment="1"/>
    <xf numFmtId="164" fontId="1" fillId="0" borderId="7" xfId="0" applyNumberFormat="1" applyFont="1" applyBorder="1" applyAlignment="1">
      <alignment horizontal="right"/>
    </xf>
    <xf numFmtId="166" fontId="1" fillId="0" borderId="7" xfId="0" applyNumberFormat="1" applyFont="1" applyBorder="1" applyAlignment="1" applyProtection="1">
      <alignment horizontal="right"/>
      <protection hidden="1"/>
    </xf>
    <xf numFmtId="0" fontId="8" fillId="0" borderId="0" xfId="0" applyFont="1" applyBorder="1" applyAlignment="1" applyProtection="1">
      <alignment horizontal="left"/>
    </xf>
    <xf numFmtId="0" fontId="8" fillId="0" borderId="0" xfId="0" applyFont="1" applyBorder="1" applyProtection="1"/>
    <xf numFmtId="164" fontId="8" fillId="0" borderId="7" xfId="0" applyNumberFormat="1" applyFont="1" applyBorder="1" applyAlignment="1" applyProtection="1">
      <alignment horizontal="right"/>
      <protection hidden="1"/>
    </xf>
    <xf numFmtId="0" fontId="1" fillId="0" borderId="15" xfId="0" applyFont="1" applyBorder="1" applyProtection="1"/>
    <xf numFmtId="166" fontId="5" fillId="3" borderId="7" xfId="0" applyNumberFormat="1" applyFont="1" applyFill="1" applyBorder="1" applyAlignment="1" applyProtection="1">
      <alignment horizontal="right"/>
      <protection hidden="1"/>
    </xf>
    <xf numFmtId="166" fontId="6" fillId="0" borderId="7" xfId="0" applyNumberFormat="1" applyFont="1" applyFill="1" applyBorder="1" applyAlignment="1" applyProtection="1">
      <alignment horizontal="right"/>
      <protection hidden="1"/>
    </xf>
    <xf numFmtId="0" fontId="8" fillId="0" borderId="19" xfId="0" applyFont="1" applyBorder="1" applyAlignment="1" applyProtection="1">
      <alignment horizontal="left"/>
    </xf>
    <xf numFmtId="0" fontId="8" fillId="0" borderId="9" xfId="0" applyFont="1" applyBorder="1" applyAlignment="1" applyProtection="1">
      <alignment horizontal="left"/>
    </xf>
    <xf numFmtId="0" fontId="8" fillId="0" borderId="9" xfId="0" applyFont="1" applyBorder="1" applyProtection="1"/>
    <xf numFmtId="0" fontId="8" fillId="0" borderId="9" xfId="0" applyFont="1" applyBorder="1"/>
    <xf numFmtId="164" fontId="8" fillId="0" borderId="10" xfId="0" applyNumberFormat="1" applyFont="1" applyBorder="1" applyAlignment="1" applyProtection="1">
      <alignment horizontal="right"/>
      <protection hidden="1"/>
    </xf>
    <xf numFmtId="0" fontId="0" fillId="0" borderId="0" xfId="0" applyAlignment="1">
      <alignment horizontal="right"/>
    </xf>
    <xf numFmtId="0" fontId="1" fillId="0" borderId="0" xfId="0" applyFont="1" applyAlignment="1">
      <alignment horizontal="right"/>
    </xf>
    <xf numFmtId="0" fontId="1" fillId="0" borderId="0" xfId="0" applyFont="1" applyAlignment="1" applyProtection="1">
      <alignment horizontal="right"/>
    </xf>
    <xf numFmtId="167" fontId="7" fillId="3" borderId="0" xfId="0" applyNumberFormat="1" applyFont="1" applyFill="1" applyAlignment="1" applyProtection="1">
      <alignment horizontal="right"/>
    </xf>
    <xf numFmtId="167" fontId="1" fillId="0" borderId="0" xfId="0" applyNumberFormat="1" applyFont="1" applyAlignment="1" applyProtection="1">
      <alignment horizontal="right"/>
    </xf>
    <xf numFmtId="0" fontId="12" fillId="0" borderId="5" xfId="0" applyFont="1" applyFill="1" applyBorder="1"/>
    <xf numFmtId="0" fontId="12" fillId="0" borderId="3" xfId="0" applyFont="1" applyFill="1" applyBorder="1"/>
    <xf numFmtId="0" fontId="14" fillId="0" borderId="3" xfId="0" applyFont="1" applyFill="1" applyBorder="1" applyAlignment="1" applyProtection="1">
      <alignment horizontal="right"/>
    </xf>
    <xf numFmtId="7" fontId="14" fillId="0" borderId="4" xfId="0" applyNumberFormat="1" applyFont="1" applyFill="1" applyBorder="1" applyAlignment="1" applyProtection="1">
      <alignment horizontal="right"/>
      <protection hidden="1"/>
    </xf>
    <xf numFmtId="0" fontId="14" fillId="2" borderId="5" xfId="0" applyFont="1" applyFill="1" applyBorder="1" applyAlignment="1">
      <alignment horizontal="centerContinuous"/>
    </xf>
    <xf numFmtId="0" fontId="12" fillId="2" borderId="3" xfId="0" applyFont="1" applyFill="1" applyBorder="1" applyAlignment="1">
      <alignment horizontal="centerContinuous"/>
    </xf>
    <xf numFmtId="0" fontId="12" fillId="2" borderId="4" xfId="0" applyFont="1" applyFill="1" applyBorder="1" applyAlignment="1">
      <alignment horizontal="centerContinuous"/>
    </xf>
    <xf numFmtId="0" fontId="1" fillId="0" borderId="14" xfId="0" applyFont="1" applyBorder="1" applyProtection="1"/>
    <xf numFmtId="0" fontId="1" fillId="0" borderId="11" xfId="0" applyFont="1" applyBorder="1" applyProtection="1"/>
    <xf numFmtId="164" fontId="1" fillId="0" borderId="12" xfId="0" applyNumberFormat="1" applyFont="1" applyBorder="1"/>
    <xf numFmtId="174" fontId="1" fillId="0" borderId="7" xfId="0" applyNumberFormat="1" applyFont="1" applyBorder="1"/>
    <xf numFmtId="176" fontId="1" fillId="0" borderId="7" xfId="0" applyNumberFormat="1" applyFont="1" applyBorder="1"/>
    <xf numFmtId="164" fontId="1" fillId="0" borderId="7" xfId="0" applyNumberFormat="1" applyFont="1" applyBorder="1"/>
    <xf numFmtId="0" fontId="1" fillId="0" borderId="19" xfId="0" applyFont="1" applyBorder="1"/>
    <xf numFmtId="0" fontId="1" fillId="0" borderId="9" xfId="0" applyFont="1" applyBorder="1"/>
    <xf numFmtId="0" fontId="88" fillId="0" borderId="9" xfId="0" applyFont="1" applyBorder="1" applyAlignment="1">
      <alignment horizontal="right"/>
    </xf>
    <xf numFmtId="176" fontId="8" fillId="0" borderId="2" xfId="0" applyNumberFormat="1" applyFont="1" applyBorder="1" applyAlignment="1"/>
    <xf numFmtId="174" fontId="8" fillId="0" borderId="2" xfId="0" applyNumberFormat="1" applyFont="1" applyBorder="1" applyAlignment="1"/>
    <xf numFmtId="0" fontId="10" fillId="0" borderId="0" xfId="0" applyFont="1" applyBorder="1" applyAlignment="1">
      <alignment horizontal="right"/>
    </xf>
    <xf numFmtId="0" fontId="1" fillId="0" borderId="0" xfId="0" applyFont="1" applyFill="1" applyBorder="1"/>
    <xf numFmtId="7" fontId="46" fillId="0" borderId="0" xfId="0" applyNumberFormat="1" applyFont="1" applyFill="1" applyAlignment="1">
      <alignment horizontal="center"/>
    </xf>
    <xf numFmtId="0" fontId="1" fillId="0" borderId="30" xfId="0" applyFont="1" applyBorder="1"/>
    <xf numFmtId="0" fontId="9" fillId="0" borderId="0" xfId="0" applyFont="1" applyFill="1"/>
    <xf numFmtId="0" fontId="33" fillId="0" borderId="0" xfId="0" quotePrefix="1" applyFont="1" applyFill="1"/>
    <xf numFmtId="0" fontId="9" fillId="0" borderId="0" xfId="0" applyFont="1" applyFill="1" applyProtection="1"/>
    <xf numFmtId="0" fontId="61" fillId="0" borderId="0" xfId="0" applyFont="1" applyFill="1" applyProtection="1">
      <protection locked="0"/>
    </xf>
    <xf numFmtId="0" fontId="9" fillId="0" borderId="11" xfId="0" applyFont="1" applyFill="1" applyBorder="1"/>
    <xf numFmtId="0" fontId="9" fillId="0" borderId="0" xfId="0" applyFont="1"/>
    <xf numFmtId="0" fontId="9" fillId="0" borderId="0" xfId="0" quotePrefix="1" applyFont="1" applyFill="1" applyAlignment="1">
      <alignment horizontal="left"/>
    </xf>
    <xf numFmtId="0" fontId="33" fillId="0" borderId="0" xfId="0" applyFont="1" applyFill="1"/>
    <xf numFmtId="0" fontId="9" fillId="0" borderId="0" xfId="0" applyFont="1" applyFill="1" applyAlignment="1">
      <alignment horizontal="left"/>
    </xf>
    <xf numFmtId="0" fontId="9" fillId="0" borderId="0" xfId="0" applyFont="1" applyAlignment="1">
      <alignment horizontal="right"/>
    </xf>
    <xf numFmtId="14" fontId="61" fillId="0" borderId="0" xfId="0" quotePrefix="1" applyNumberFormat="1" applyFont="1" applyFill="1" applyBorder="1" applyAlignment="1">
      <alignment horizontal="centerContinuous"/>
    </xf>
    <xf numFmtId="0" fontId="89" fillId="0" borderId="0" xfId="0" applyFont="1"/>
    <xf numFmtId="0" fontId="19" fillId="0" borderId="0" xfId="0" applyFont="1" applyBorder="1"/>
    <xf numFmtId="0" fontId="90" fillId="0" borderId="0" xfId="0" applyFont="1" applyBorder="1"/>
    <xf numFmtId="0" fontId="8" fillId="0" borderId="0" xfId="0" applyFont="1" applyFill="1" applyBorder="1" applyAlignment="1">
      <alignment horizontal="centerContinuous"/>
    </xf>
    <xf numFmtId="0" fontId="9" fillId="0" borderId="0" xfId="0" applyFont="1" applyFill="1" applyBorder="1"/>
    <xf numFmtId="8" fontId="38" fillId="0" borderId="0" xfId="0" applyNumberFormat="1" applyFont="1" applyFill="1" applyAlignment="1">
      <alignment horizontal="right"/>
    </xf>
    <xf numFmtId="177" fontId="7" fillId="0" borderId="0" xfId="0" applyNumberFormat="1" applyFont="1"/>
    <xf numFmtId="177" fontId="1" fillId="0" borderId="0" xfId="0" applyNumberFormat="1" applyFont="1"/>
    <xf numFmtId="0" fontId="8" fillId="0" borderId="0" xfId="0" applyFont="1" applyFill="1" applyBorder="1"/>
    <xf numFmtId="7" fontId="1" fillId="0" borderId="14" xfId="0" applyNumberFormat="1" applyFont="1" applyBorder="1"/>
    <xf numFmtId="7" fontId="1" fillId="0" borderId="11" xfId="0" applyNumberFormat="1" applyFont="1" applyBorder="1"/>
    <xf numFmtId="7" fontId="1" fillId="0" borderId="12" xfId="0" applyNumberFormat="1" applyFont="1" applyBorder="1"/>
    <xf numFmtId="7" fontId="1" fillId="0" borderId="15" xfId="0" applyNumberFormat="1" applyFont="1" applyBorder="1"/>
    <xf numFmtId="7" fontId="1" fillId="0" borderId="0" xfId="0" applyNumberFormat="1" applyFont="1" applyBorder="1"/>
    <xf numFmtId="7" fontId="1" fillId="0" borderId="7" xfId="0" applyNumberFormat="1" applyFont="1" applyBorder="1"/>
    <xf numFmtId="7" fontId="1" fillId="0" borderId="19" xfId="0" applyNumberFormat="1" applyFont="1" applyBorder="1"/>
    <xf numFmtId="7" fontId="1" fillId="0" borderId="9" xfId="0" applyNumberFormat="1" applyFont="1" applyBorder="1"/>
    <xf numFmtId="7" fontId="1" fillId="0" borderId="10" xfId="0" applyNumberFormat="1" applyFont="1" applyBorder="1"/>
    <xf numFmtId="7" fontId="15" fillId="0" borderId="0" xfId="0" applyNumberFormat="1" applyFont="1"/>
    <xf numFmtId="187" fontId="7" fillId="0" borderId="0" xfId="0" applyNumberFormat="1" applyFont="1"/>
    <xf numFmtId="187" fontId="1" fillId="0" borderId="0" xfId="0" applyNumberFormat="1" applyFont="1"/>
    <xf numFmtId="0" fontId="32" fillId="0" borderId="0" xfId="0" applyFont="1"/>
    <xf numFmtId="174" fontId="55" fillId="3" borderId="2" xfId="0" applyNumberFormat="1" applyFont="1" applyFill="1" applyBorder="1"/>
    <xf numFmtId="174" fontId="8" fillId="0" borderId="2" xfId="0" applyNumberFormat="1" applyFont="1" applyFill="1" applyBorder="1"/>
    <xf numFmtId="164" fontId="1" fillId="0" borderId="7" xfId="0" applyNumberFormat="1" applyFont="1" applyBorder="1" applyProtection="1">
      <protection hidden="1"/>
    </xf>
    <xf numFmtId="0" fontId="1" fillId="0" borderId="7" xfId="0" applyFont="1" applyBorder="1"/>
    <xf numFmtId="174" fontId="7" fillId="3" borderId="2" xfId="0" applyNumberFormat="1" applyFont="1" applyFill="1" applyBorder="1" applyProtection="1">
      <protection locked="0"/>
    </xf>
    <xf numFmtId="176" fontId="7" fillId="5" borderId="2" xfId="0" applyNumberFormat="1" applyFont="1" applyFill="1" applyBorder="1" applyAlignment="1" applyProtection="1">
      <alignment horizontal="right"/>
      <protection locked="0"/>
    </xf>
    <xf numFmtId="166" fontId="1" fillId="0" borderId="7" xfId="0" applyNumberFormat="1" applyFont="1" applyBorder="1" applyProtection="1">
      <protection hidden="1"/>
    </xf>
    <xf numFmtId="164" fontId="8" fillId="0" borderId="7" xfId="0" applyNumberFormat="1" applyFont="1" applyBorder="1" applyProtection="1">
      <protection hidden="1"/>
    </xf>
    <xf numFmtId="166" fontId="5" fillId="0" borderId="7" xfId="0" applyNumberFormat="1" applyFont="1" applyFill="1" applyBorder="1" applyAlignment="1" applyProtection="1">
      <alignment horizontal="right"/>
      <protection hidden="1"/>
    </xf>
    <xf numFmtId="166" fontId="6" fillId="0" borderId="7" xfId="0" applyNumberFormat="1" applyFont="1" applyFill="1" applyBorder="1" applyProtection="1">
      <protection hidden="1"/>
    </xf>
    <xf numFmtId="164" fontId="8" fillId="0" borderId="10" xfId="0" applyNumberFormat="1" applyFont="1" applyBorder="1" applyProtection="1">
      <protection hidden="1"/>
    </xf>
    <xf numFmtId="167" fontId="7" fillId="0" borderId="0" xfId="0" applyNumberFormat="1" applyFont="1" applyFill="1" applyAlignment="1" applyProtection="1">
      <alignment horizontal="right"/>
    </xf>
    <xf numFmtId="167" fontId="1" fillId="0" borderId="0" xfId="0" applyNumberFormat="1" applyFont="1" applyProtection="1"/>
    <xf numFmtId="7" fontId="14" fillId="0" borderId="4" xfId="0" applyNumberFormat="1" applyFont="1" applyFill="1" applyBorder="1" applyProtection="1">
      <protection hidden="1"/>
    </xf>
    <xf numFmtId="7" fontId="1" fillId="0" borderId="0" xfId="0" applyNumberFormat="1" applyFont="1"/>
    <xf numFmtId="0" fontId="9" fillId="0" borderId="0" xfId="0" applyFont="1" applyFill="1" applyAlignment="1">
      <alignment horizontal="right"/>
    </xf>
    <xf numFmtId="0" fontId="91" fillId="0" borderId="0" xfId="0" applyFont="1" applyFill="1"/>
    <xf numFmtId="0" fontId="0" fillId="0" borderId="0" xfId="0" applyFill="1"/>
    <xf numFmtId="0" fontId="0" fillId="0" borderId="0" xfId="0" applyFill="1" applyBorder="1"/>
    <xf numFmtId="39" fontId="1" fillId="0" borderId="15" xfId="0" applyNumberFormat="1" applyFont="1" applyBorder="1"/>
    <xf numFmtId="39" fontId="1" fillId="0" borderId="0" xfId="0" applyNumberFormat="1" applyFont="1" applyBorder="1"/>
    <xf numFmtId="39" fontId="1" fillId="0" borderId="7" xfId="0" applyNumberFormat="1" applyFont="1" applyBorder="1"/>
    <xf numFmtId="39" fontId="1" fillId="0" borderId="19" xfId="0" applyNumberFormat="1" applyFont="1" applyBorder="1"/>
    <xf numFmtId="39" fontId="1" fillId="0" borderId="9" xfId="0" applyNumberFormat="1" applyFont="1" applyBorder="1"/>
    <xf numFmtId="39" fontId="1" fillId="0" borderId="10" xfId="0" applyNumberFormat="1" applyFont="1" applyBorder="1"/>
    <xf numFmtId="0" fontId="32" fillId="0" borderId="0" xfId="0" applyFont="1" applyProtection="1">
      <protection hidden="1"/>
    </xf>
    <xf numFmtId="0" fontId="0" fillId="0" borderId="0" xfId="0" applyProtection="1">
      <protection hidden="1"/>
    </xf>
    <xf numFmtId="0" fontId="39" fillId="4" borderId="24" xfId="0" applyFont="1" applyFill="1" applyBorder="1" applyProtection="1">
      <protection hidden="1"/>
    </xf>
    <xf numFmtId="0" fontId="8" fillId="4" borderId="25" xfId="0" applyFont="1" applyFill="1" applyBorder="1" applyProtection="1">
      <protection hidden="1"/>
    </xf>
    <xf numFmtId="0" fontId="8" fillId="4" borderId="26" xfId="0" applyFont="1" applyFill="1" applyBorder="1" applyProtection="1">
      <protection hidden="1"/>
    </xf>
    <xf numFmtId="0" fontId="8" fillId="0" borderId="0" xfId="0" applyFont="1" applyProtection="1">
      <protection hidden="1"/>
    </xf>
    <xf numFmtId="0" fontId="0" fillId="0" borderId="27" xfId="0" applyBorder="1" applyProtection="1">
      <protection hidden="1"/>
    </xf>
    <xf numFmtId="0" fontId="0" fillId="0" borderId="0" xfId="0" applyBorder="1" applyProtection="1">
      <protection hidden="1"/>
    </xf>
    <xf numFmtId="0" fontId="0" fillId="0" borderId="28" xfId="0" applyBorder="1" applyProtection="1">
      <protection hidden="1"/>
    </xf>
    <xf numFmtId="0" fontId="8" fillId="0" borderId="27" xfId="0" applyFont="1" applyBorder="1" applyAlignment="1" applyProtection="1">
      <alignment vertical="top" wrapText="1"/>
      <protection hidden="1"/>
    </xf>
    <xf numFmtId="0" fontId="8" fillId="0" borderId="0" xfId="0" applyFont="1" applyBorder="1" applyAlignment="1" applyProtection="1">
      <alignment vertical="top" wrapText="1"/>
      <protection hidden="1"/>
    </xf>
    <xf numFmtId="0" fontId="0" fillId="0" borderId="28" xfId="0" applyBorder="1" applyAlignment="1" applyProtection="1">
      <alignment vertical="top"/>
      <protection hidden="1"/>
    </xf>
    <xf numFmtId="0" fontId="0" fillId="0" borderId="0" xfId="0" applyAlignment="1" applyProtection="1">
      <alignment vertical="top"/>
      <protection hidden="1"/>
    </xf>
    <xf numFmtId="0" fontId="1" fillId="0" borderId="0" xfId="0" applyFont="1" applyProtection="1">
      <protection hidden="1"/>
    </xf>
    <xf numFmtId="0" fontId="9" fillId="0" borderId="0" xfId="0" applyFont="1" applyBorder="1" applyAlignment="1" applyProtection="1">
      <alignment horizontal="left" vertical="top" wrapText="1"/>
      <protection hidden="1"/>
    </xf>
    <xf numFmtId="0" fontId="0" fillId="0" borderId="28" xfId="0" applyNumberFormat="1" applyBorder="1" applyProtection="1">
      <protection hidden="1"/>
    </xf>
    <xf numFmtId="0" fontId="8" fillId="0" borderId="24" xfId="0" applyFont="1" applyBorder="1" applyAlignment="1" applyProtection="1">
      <alignment vertical="top" wrapText="1"/>
      <protection hidden="1"/>
    </xf>
    <xf numFmtId="0" fontId="8" fillId="0" borderId="25" xfId="0" applyFont="1" applyBorder="1" applyAlignment="1" applyProtection="1">
      <alignment vertical="top" wrapText="1"/>
      <protection hidden="1"/>
    </xf>
    <xf numFmtId="0" fontId="0" fillId="0" borderId="26" xfId="0" applyBorder="1" applyProtection="1">
      <protection hidden="1"/>
    </xf>
    <xf numFmtId="0" fontId="8" fillId="0" borderId="0" xfId="0" applyFont="1" applyBorder="1" applyAlignment="1" applyProtection="1">
      <alignment vertical="top"/>
      <protection hidden="1"/>
    </xf>
    <xf numFmtId="0" fontId="0" fillId="0" borderId="28" xfId="0" applyBorder="1" applyAlignment="1" applyProtection="1">
      <protection hidden="1"/>
    </xf>
    <xf numFmtId="0" fontId="0" fillId="0" borderId="0" xfId="0" applyAlignment="1" applyProtection="1">
      <alignment horizontal="centerContinuous"/>
      <protection hidden="1"/>
    </xf>
    <xf numFmtId="0" fontId="4" fillId="0" borderId="28" xfId="0" applyFont="1" applyBorder="1" applyAlignment="1" applyProtection="1">
      <alignment horizontal="centerContinuous"/>
      <protection hidden="1"/>
    </xf>
    <xf numFmtId="0" fontId="0" fillId="0" borderId="31" xfId="0" applyBorder="1" applyProtection="1">
      <protection hidden="1"/>
    </xf>
    <xf numFmtId="0" fontId="0" fillId="0" borderId="32" xfId="0" applyBorder="1" applyProtection="1">
      <protection hidden="1"/>
    </xf>
    <xf numFmtId="0" fontId="0" fillId="0" borderId="33" xfId="0" applyBorder="1" applyProtection="1">
      <protection hidden="1"/>
    </xf>
    <xf numFmtId="0" fontId="92" fillId="0" borderId="28" xfId="4" applyBorder="1" applyAlignment="1" applyProtection="1">
      <protection hidden="1"/>
    </xf>
    <xf numFmtId="0" fontId="93" fillId="0" borderId="0" xfId="0" applyFont="1" applyAlignment="1" applyProtection="1">
      <alignment horizontal="left"/>
      <protection hidden="1"/>
    </xf>
    <xf numFmtId="0" fontId="1" fillId="0" borderId="0" xfId="0" applyFont="1" applyAlignment="1" applyProtection="1">
      <alignment horizontal="centerContinuous"/>
      <protection hidden="1"/>
    </xf>
  </cellXfs>
  <cellStyles count="5">
    <cellStyle name="Followed Hyperlink" xfId="2" builtinId="9" hidden="1"/>
    <cellStyle name="Followed Hyperlink" xfId="3" builtinId="9" hidden="1"/>
    <cellStyle name="Hyperlink" xfId="4" builtinId="8"/>
    <cellStyle name="Normal" xfId="0" builtinId="0"/>
    <cellStyle name="TTS" xfId="1"/>
  </cellStyles>
  <dxfs count="4">
    <dxf>
      <font>
        <b/>
        <i val="0"/>
        <condense val="0"/>
        <extend val="0"/>
        <color indexed="10"/>
      </font>
      <fill>
        <patternFill>
          <bgColor indexed="43"/>
        </patternFill>
      </fill>
    </dxf>
    <dxf>
      <font>
        <b/>
        <i val="0"/>
        <condense val="0"/>
        <extend val="0"/>
        <color indexed="10"/>
      </font>
      <fill>
        <patternFill>
          <bgColor indexed="43"/>
        </patternFill>
      </fill>
    </dxf>
    <dxf>
      <fill>
        <patternFill>
          <bgColor indexed="43"/>
        </patternFill>
      </fill>
    </dxf>
    <dxf>
      <fill>
        <patternFill>
          <bgColor indexed="43"/>
        </patternFill>
      </fill>
    </dxf>
  </dxfs>
  <tableStyles count="0" defaultTableStyle="TableStyleMedium9" defaultPivotStyle="PivotStyleLight16"/>
  <colors>
    <mruColors>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www.facebook.com/pages/Training-The-Street/56806716383" TargetMode="External"/><Relationship Id="rId2" Type="http://schemas.openxmlformats.org/officeDocument/2006/relationships/image" Target="../media/image1.jpg"/><Relationship Id="rId1" Type="http://schemas.openxmlformats.org/officeDocument/2006/relationships/hyperlink" Target="http://www.trainingthestreet.com/"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http://www.trainingthestreet.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http://www.trainingthestreet.com/"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0</xdr:col>
      <xdr:colOff>243840</xdr:colOff>
      <xdr:row>0</xdr:row>
      <xdr:rowOff>99060</xdr:rowOff>
    </xdr:from>
    <xdr:to>
      <xdr:col>4</xdr:col>
      <xdr:colOff>22860</xdr:colOff>
      <xdr:row>3</xdr:row>
      <xdr:rowOff>16764</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3840" y="99060"/>
          <a:ext cx="5760720" cy="403479"/>
        </a:xfrm>
        <a:prstGeom prst="rect">
          <a:avLst/>
        </a:prstGeom>
      </xdr:spPr>
    </xdr:pic>
    <xdr:clientData/>
  </xdr:twoCellAnchor>
  <xdr:oneCellAnchor>
    <xdr:from>
      <xdr:col>5</xdr:col>
      <xdr:colOff>361950</xdr:colOff>
      <xdr:row>16</xdr:row>
      <xdr:rowOff>57150</xdr:rowOff>
    </xdr:from>
    <xdr:ext cx="1352550" cy="962025"/>
    <xdr:pic>
      <xdr:nvPicPr>
        <xdr:cNvPr id="3" name="Picture 2">
          <a:hlinkClick xmlns:r="http://schemas.openxmlformats.org/officeDocument/2006/relationships" r:id="rId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524625" y="2305050"/>
          <a:ext cx="13525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36</xdr:col>
      <xdr:colOff>0</xdr:colOff>
      <xdr:row>85</xdr:row>
      <xdr:rowOff>9525</xdr:rowOff>
    </xdr:from>
    <xdr:to>
      <xdr:col>39</xdr:col>
      <xdr:colOff>0</xdr:colOff>
      <xdr:row>86</xdr:row>
      <xdr:rowOff>0</xdr:rowOff>
    </xdr:to>
    <xdr:pic>
      <xdr:nvPicPr>
        <xdr:cNvPr id="182311" name="Picture 5" descr="40%TTS LogoPMSFinal">
          <a:hlinkClick xmlns:r="http://schemas.openxmlformats.org/officeDocument/2006/relationships" r:id="rId1"/>
          <a:extLst>
            <a:ext uri="{FF2B5EF4-FFF2-40B4-BE49-F238E27FC236}">
              <a16:creationId xmlns:a16="http://schemas.microsoft.com/office/drawing/2014/main" id="{00000000-0008-0000-0300-000027C802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158" t="10345" r="1158" b="13792"/>
        <a:stretch>
          <a:fillRect/>
        </a:stretch>
      </xdr:blipFill>
      <xdr:spPr bwMode="auto">
        <a:xfrm>
          <a:off x="24545925" y="13925550"/>
          <a:ext cx="18097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3</xdr:row>
      <xdr:rowOff>0</xdr:rowOff>
    </xdr:from>
    <xdr:to>
      <xdr:col>16</xdr:col>
      <xdr:colOff>0</xdr:colOff>
      <xdr:row>24</xdr:row>
      <xdr:rowOff>0</xdr:rowOff>
    </xdr:to>
    <xdr:sp macro="" textlink="">
      <xdr:nvSpPr>
        <xdr:cNvPr id="2" name="Rectangle 1">
          <a:extLst>
            <a:ext uri="{FF2B5EF4-FFF2-40B4-BE49-F238E27FC236}">
              <a16:creationId xmlns:a16="http://schemas.microsoft.com/office/drawing/2014/main" id="{00000000-0008-0000-0D00-000002000000}"/>
            </a:ext>
          </a:extLst>
        </xdr:cNvPr>
        <xdr:cNvSpPr>
          <a:spLocks noChangeArrowheads="1"/>
        </xdr:cNvSpPr>
      </xdr:nvSpPr>
      <xdr:spPr bwMode="auto">
        <a:xfrm>
          <a:off x="6767513" y="561975"/>
          <a:ext cx="4148137" cy="31051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3</xdr:row>
      <xdr:rowOff>0</xdr:rowOff>
    </xdr:from>
    <xdr:to>
      <xdr:col>16</xdr:col>
      <xdr:colOff>0</xdr:colOff>
      <xdr:row>24</xdr:row>
      <xdr:rowOff>0</xdr:rowOff>
    </xdr:to>
    <xdr:sp macro="" textlink="">
      <xdr:nvSpPr>
        <xdr:cNvPr id="2" name="Rectangle 1">
          <a:extLst>
            <a:ext uri="{FF2B5EF4-FFF2-40B4-BE49-F238E27FC236}">
              <a16:creationId xmlns:a16="http://schemas.microsoft.com/office/drawing/2014/main" id="{00000000-0008-0000-0E00-000002000000}"/>
            </a:ext>
          </a:extLst>
        </xdr:cNvPr>
        <xdr:cNvSpPr>
          <a:spLocks noChangeArrowheads="1"/>
        </xdr:cNvSpPr>
      </xdr:nvSpPr>
      <xdr:spPr bwMode="auto">
        <a:xfrm>
          <a:off x="6767513" y="561975"/>
          <a:ext cx="4148137" cy="31051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314325</xdr:colOff>
      <xdr:row>97</xdr:row>
      <xdr:rowOff>0</xdr:rowOff>
    </xdr:from>
    <xdr:to>
      <xdr:col>20</xdr:col>
      <xdr:colOff>28575</xdr:colOff>
      <xdr:row>97</xdr:row>
      <xdr:rowOff>152400</xdr:rowOff>
    </xdr:to>
    <xdr:pic>
      <xdr:nvPicPr>
        <xdr:cNvPr id="85871" name="Picture 5" descr="40%TTS LogoPMSFinal">
          <a:hlinkClick xmlns:r="http://schemas.openxmlformats.org/officeDocument/2006/relationships" r:id="rId1"/>
          <a:extLst>
            <a:ext uri="{FF2B5EF4-FFF2-40B4-BE49-F238E27FC236}">
              <a16:creationId xmlns:a16="http://schemas.microsoft.com/office/drawing/2014/main" id="{00000000-0008-0000-1000-00006F4F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1158" t="10345" r="1158" b="13792"/>
        <a:stretch>
          <a:fillRect/>
        </a:stretch>
      </xdr:blipFill>
      <xdr:spPr bwMode="auto">
        <a:xfrm>
          <a:off x="9486900" y="14420850"/>
          <a:ext cx="18478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trainingthestreet.com/macros/" TargetMode="External"/><Relationship Id="rId2" Type="http://schemas.openxmlformats.org/officeDocument/2006/relationships/hyperlink" Target="http://trainingthestreet.com/public_courses/course-calendar/" TargetMode="External"/><Relationship Id="rId1" Type="http://schemas.openxmlformats.org/officeDocument/2006/relationships/hyperlink" Target="mailto:info@trainingthestreet.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www.trainingthestreet.com/"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vmlDrawing" Target="../drawings/vmlDrawing9.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vmlDrawing" Target="../drawings/vmlDrawing13.v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vmlDrawing" Target="../drawings/vmlDrawing15.v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printerSettings" Target="../printerSettings/printerSettings12.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vmlDrawing" Target="../drawings/vmlDrawing19.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vmlDrawing" Target="../drawings/vmlDrawing22.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4.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vmlDrawing" Target="../drawings/vmlDrawing24.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vmlDrawing" Target="../drawings/vmlDrawing25.v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5.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vmlDrawing" Target="../drawings/vmlDrawing2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indexed="17"/>
    <pageSetUpPr fitToPage="1"/>
  </sheetPr>
  <dimension ref="A1:I43"/>
  <sheetViews>
    <sheetView showGridLines="0" showRowColHeaders="0" zoomScaleNormal="100" workbookViewId="0"/>
  </sheetViews>
  <sheetFormatPr defaultColWidth="0" defaultRowHeight="12.75" customHeight="1" zeroHeight="1"/>
  <cols>
    <col min="1" max="1" width="3.7109375" style="816" customWidth="1"/>
    <col min="2" max="2" width="0.42578125" style="816" customWidth="1"/>
    <col min="3" max="3" width="20.7109375" style="816" customWidth="1"/>
    <col min="4" max="4" width="64.85546875" style="816" customWidth="1"/>
    <col min="5" max="5" width="2.7109375" style="816" customWidth="1"/>
    <col min="6" max="8" width="9.7109375" style="816" customWidth="1"/>
    <col min="9" max="9" width="9.140625" style="816" customWidth="1"/>
    <col min="10" max="16384" width="0" style="816" hidden="1"/>
  </cols>
  <sheetData>
    <row r="1" spans="1:9">
      <c r="A1" s="815"/>
    </row>
    <row r="2" spans="1:9"/>
    <row r="3" spans="1:9"/>
    <row r="4" spans="1:9"/>
    <row r="5" spans="1:9">
      <c r="B5" s="817"/>
      <c r="C5" s="818"/>
      <c r="D5" s="819"/>
    </row>
    <row r="6" spans="1:9" ht="4.1500000000000004" customHeight="1">
      <c r="B6" s="821"/>
      <c r="C6" s="822"/>
      <c r="D6" s="823"/>
    </row>
    <row r="7" spans="1:9" ht="13.15" customHeight="1">
      <c r="B7" s="824"/>
      <c r="C7" s="825" t="s">
        <v>344</v>
      </c>
      <c r="D7" s="826" t="s">
        <v>345</v>
      </c>
      <c r="E7" s="827"/>
      <c r="F7" s="820" t="s">
        <v>234</v>
      </c>
    </row>
    <row r="8" spans="1:9">
      <c r="B8" s="824"/>
      <c r="C8" s="829" t="s">
        <v>346</v>
      </c>
      <c r="D8" s="830" t="s">
        <v>347</v>
      </c>
      <c r="F8" s="828" t="s">
        <v>235</v>
      </c>
    </row>
    <row r="9" spans="1:9">
      <c r="B9" s="824"/>
      <c r="C9" s="829" t="s">
        <v>239</v>
      </c>
      <c r="D9" s="830" t="s">
        <v>348</v>
      </c>
      <c r="F9" s="828" t="s">
        <v>236</v>
      </c>
    </row>
    <row r="10" spans="1:9" ht="13.15" customHeight="1">
      <c r="B10" s="824"/>
      <c r="C10" s="829" t="s">
        <v>237</v>
      </c>
      <c r="D10" s="823" t="s">
        <v>350</v>
      </c>
      <c r="F10" s="816" t="s">
        <v>349</v>
      </c>
    </row>
    <row r="11" spans="1:9">
      <c r="B11" s="824"/>
      <c r="C11" s="829" t="s">
        <v>238</v>
      </c>
      <c r="D11" s="823" t="s">
        <v>352</v>
      </c>
      <c r="F11" s="816" t="s">
        <v>351</v>
      </c>
    </row>
    <row r="12" spans="1:9">
      <c r="B12" s="824"/>
      <c r="C12" s="829" t="s">
        <v>353</v>
      </c>
      <c r="D12" s="841" t="s">
        <v>358</v>
      </c>
      <c r="F12" s="816" t="s">
        <v>240</v>
      </c>
    </row>
    <row r="13" spans="1:9" ht="4.1500000000000004" customHeight="1">
      <c r="B13" s="824"/>
      <c r="C13" s="825"/>
      <c r="D13" s="823"/>
    </row>
    <row r="14" spans="1:9" ht="4.1500000000000004" customHeight="1">
      <c r="B14" s="831"/>
      <c r="C14" s="832"/>
      <c r="D14" s="833"/>
    </row>
    <row r="15" spans="1:9">
      <c r="B15" s="824"/>
      <c r="C15" s="834" t="s">
        <v>355</v>
      </c>
      <c r="D15" s="835" t="s">
        <v>241</v>
      </c>
      <c r="F15" s="828" t="s">
        <v>354</v>
      </c>
      <c r="I15" s="836"/>
    </row>
    <row r="16" spans="1:9">
      <c r="B16" s="824"/>
      <c r="C16" s="834" t="s">
        <v>284</v>
      </c>
      <c r="D16" s="835" t="s">
        <v>356</v>
      </c>
    </row>
    <row r="17" spans="2:8">
      <c r="B17" s="824"/>
      <c r="C17" s="834" t="s">
        <v>242</v>
      </c>
      <c r="D17" s="841" t="s">
        <v>359</v>
      </c>
      <c r="F17" s="842"/>
      <c r="G17" s="843"/>
      <c r="H17" s="843"/>
    </row>
    <row r="18" spans="2:8">
      <c r="B18" s="824"/>
      <c r="C18" s="820" t="s">
        <v>243</v>
      </c>
      <c r="D18" s="837" t="s">
        <v>244</v>
      </c>
    </row>
    <row r="19" spans="2:8">
      <c r="B19" s="824"/>
      <c r="D19" s="837" t="s">
        <v>245</v>
      </c>
    </row>
    <row r="20" spans="2:8" ht="4.1500000000000004" customHeight="1">
      <c r="B20" s="824"/>
      <c r="C20" s="825"/>
      <c r="D20" s="823"/>
    </row>
    <row r="21" spans="2:8" ht="4.1500000000000004" customHeight="1">
      <c r="B21" s="831"/>
      <c r="C21" s="832"/>
      <c r="D21" s="833"/>
    </row>
    <row r="22" spans="2:8">
      <c r="B22" s="824"/>
      <c r="C22" s="825" t="s">
        <v>246</v>
      </c>
      <c r="D22" s="823" t="s">
        <v>357</v>
      </c>
    </row>
    <row r="23" spans="2:8">
      <c r="B23" s="821"/>
      <c r="C23" s="822"/>
      <c r="D23" s="841" t="s">
        <v>360</v>
      </c>
    </row>
    <row r="24" spans="2:8" ht="4.1500000000000004" customHeight="1">
      <c r="B24" s="838"/>
      <c r="C24" s="839"/>
      <c r="D24" s="840"/>
    </row>
    <row r="25" spans="2:8"/>
    <row r="26" spans="2:8"/>
    <row r="27" spans="2:8" hidden="1"/>
    <row r="28" spans="2:8" hidden="1"/>
    <row r="29" spans="2:8" hidden="1"/>
    <row r="30" spans="2:8" hidden="1"/>
    <row r="31" spans="2:8" hidden="1"/>
    <row r="32" spans="2:8" hidden="1"/>
    <row r="33" hidden="1"/>
    <row r="34" hidden="1"/>
    <row r="35" hidden="1"/>
    <row r="36" hidden="1"/>
    <row r="37" hidden="1"/>
    <row r="38" hidden="1"/>
    <row r="39" hidden="1"/>
    <row r="40" hidden="1"/>
    <row r="41" hidden="1"/>
    <row r="42" hidden="1"/>
    <row r="43" hidden="1"/>
  </sheetData>
  <sheetProtection password="8D7B" sheet="1" objects="1" scenarios="1"/>
  <hyperlinks>
    <hyperlink ref="F15" r:id="rId1"/>
    <hyperlink ref="D17" r:id="rId2"/>
    <hyperlink ref="D23" r:id="rId3"/>
    <hyperlink ref="D12" r:id="rId4"/>
  </hyperlinks>
  <printOptions horizontalCentered="1"/>
  <pageMargins left="0.38" right="0.2" top="1" bottom="1" header="0.5" footer="0.5"/>
  <pageSetup orientation="landscape" r:id="rId5"/>
  <headerFooter alignWithMargins="0"/>
  <colBreaks count="1" manualBreakCount="1">
    <brk id="4" max="1048575" man="1"/>
  </colBreaks>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K42"/>
  <sheetViews>
    <sheetView showGridLines="0" zoomScaleSheetLayoutView="100" workbookViewId="0"/>
  </sheetViews>
  <sheetFormatPr defaultColWidth="8.85546875" defaultRowHeight="13.15" customHeight="1"/>
  <cols>
    <col min="1" max="1" width="1.7109375" style="599" customWidth="1"/>
    <col min="2" max="2" width="1.7109375" customWidth="1"/>
    <col min="5" max="5" width="9.7109375" bestFit="1" customWidth="1"/>
    <col min="6" max="6" width="13.28515625" customWidth="1"/>
    <col min="7" max="9" width="10.140625" customWidth="1"/>
    <col min="10" max="10" width="10" bestFit="1" customWidth="1"/>
  </cols>
  <sheetData>
    <row r="1" spans="1:11" s="34" customFormat="1" ht="15">
      <c r="A1" s="69"/>
      <c r="B1" s="80"/>
      <c r="C1" s="13"/>
      <c r="D1"/>
      <c r="E1"/>
      <c r="F1"/>
    </row>
    <row r="2" spans="1:11" s="34" customFormat="1" ht="15">
      <c r="A2" s="69"/>
      <c r="B2" s="43"/>
    </row>
    <row r="3" spans="1:11" s="34" customFormat="1" ht="15">
      <c r="A3" s="69" t="s">
        <v>43</v>
      </c>
      <c r="B3" s="34" t="s">
        <v>92</v>
      </c>
      <c r="F3" s="40" t="s">
        <v>157</v>
      </c>
      <c r="G3" s="35"/>
      <c r="H3" s="35"/>
      <c r="I3" s="36"/>
      <c r="J3" s="66" t="s">
        <v>99</v>
      </c>
    </row>
    <row r="4" spans="1:11" s="34" customFormat="1" ht="15">
      <c r="A4" s="69"/>
      <c r="F4" s="38"/>
    </row>
    <row r="5" spans="1:11" s="34" customFormat="1" ht="15">
      <c r="A5" s="69"/>
      <c r="B5" s="61" t="s">
        <v>93</v>
      </c>
      <c r="F5" s="40" t="s">
        <v>117</v>
      </c>
      <c r="G5" s="35"/>
      <c r="H5" s="35"/>
      <c r="I5" s="36"/>
      <c r="J5" s="66" t="s">
        <v>40</v>
      </c>
    </row>
    <row r="6" spans="1:11" s="34" customFormat="1" ht="15">
      <c r="A6" s="69"/>
      <c r="F6" s="39"/>
    </row>
    <row r="7" spans="1:11" s="34" customFormat="1" ht="15">
      <c r="A7" s="69"/>
      <c r="B7" s="42" t="s">
        <v>98</v>
      </c>
      <c r="F7" s="477">
        <v>41608</v>
      </c>
      <c r="G7" s="66" t="s">
        <v>41</v>
      </c>
      <c r="I7" s="43"/>
    </row>
    <row r="8" spans="1:11" s="34" customFormat="1" ht="15">
      <c r="A8" s="69"/>
      <c r="B8" s="42"/>
      <c r="F8" s="212"/>
      <c r="G8" s="66"/>
      <c r="I8" s="43"/>
    </row>
    <row r="9" spans="1:11" s="34" customFormat="1" ht="15">
      <c r="A9" s="69"/>
      <c r="F9" s="39"/>
      <c r="K9" s="37"/>
    </row>
    <row r="10" spans="1:11" ht="15">
      <c r="A10" s="69" t="s">
        <v>43</v>
      </c>
      <c r="B10" s="7" t="s">
        <v>45</v>
      </c>
      <c r="G10" s="34"/>
      <c r="H10" s="70">
        <f>is!L5</f>
        <v>2014</v>
      </c>
      <c r="I10" s="70">
        <f>is!M5</f>
        <v>2015</v>
      </c>
      <c r="J10" s="70">
        <f>is!N5</f>
        <v>2016</v>
      </c>
      <c r="K10" s="71" t="s">
        <v>42</v>
      </c>
    </row>
    <row r="11" spans="1:11" ht="12.75">
      <c r="A11" s="69"/>
      <c r="B11" s="16" t="str">
        <f>is!C33</f>
        <v>Sales growth rate</v>
      </c>
      <c r="C11" s="16"/>
      <c r="D11" s="16"/>
      <c r="E11" s="16"/>
      <c r="F11" s="16"/>
      <c r="G11" s="16"/>
      <c r="H11" s="198">
        <f>is!L33</f>
        <v>0.04</v>
      </c>
      <c r="I11" s="198">
        <f>is!M33</f>
        <v>4.3000000000000003E-2</v>
      </c>
      <c r="J11" s="198">
        <f>is!N33</f>
        <v>4.6000000000000006E-2</v>
      </c>
      <c r="K11" s="198">
        <f>is!R33</f>
        <v>3.0000000000000001E-3</v>
      </c>
    </row>
    <row r="12" spans="1:11" ht="12.75">
      <c r="A12" s="69"/>
      <c r="B12" s="16" t="str">
        <f>is!C34</f>
        <v>Gross margin</v>
      </c>
      <c r="C12" s="16"/>
      <c r="D12" s="16"/>
      <c r="E12" s="16"/>
      <c r="F12" s="16"/>
      <c r="G12" s="16"/>
      <c r="H12" s="198">
        <f>is!L34</f>
        <v>0.433</v>
      </c>
      <c r="I12" s="198">
        <f>is!M34</f>
        <v>0.435</v>
      </c>
      <c r="J12" s="198">
        <f>is!N34</f>
        <v>0.437</v>
      </c>
      <c r="K12" s="198">
        <f>is!R34</f>
        <v>2E-3</v>
      </c>
    </row>
    <row r="13" spans="1:11" ht="12.75">
      <c r="A13" s="69"/>
      <c r="B13" s="16" t="str">
        <f>is!C35</f>
        <v>SG&amp;A margin</v>
      </c>
      <c r="C13" s="16"/>
      <c r="D13" s="16"/>
      <c r="E13" s="16"/>
      <c r="F13" s="16"/>
      <c r="G13" s="16"/>
      <c r="H13" s="198">
        <f>is!L35</f>
        <v>0.26200000000000001</v>
      </c>
      <c r="I13" s="198">
        <f>is!M35</f>
        <v>0.26100000000000001</v>
      </c>
      <c r="J13" s="198">
        <f>is!N35</f>
        <v>0.26</v>
      </c>
      <c r="K13" s="198">
        <f>is!R35</f>
        <v>-1E-3</v>
      </c>
    </row>
    <row r="14" spans="1:11" ht="12.75">
      <c r="A14" s="69"/>
      <c r="B14" s="16" t="str">
        <f>is!C37</f>
        <v>Effective tax rate</v>
      </c>
      <c r="C14" s="16"/>
      <c r="D14" s="16"/>
      <c r="E14" s="16"/>
      <c r="F14" s="16"/>
      <c r="G14" s="16"/>
      <c r="H14" s="198">
        <f>is!L37</f>
        <v>0.27500000000000002</v>
      </c>
      <c r="I14" s="198">
        <f>is!M37</f>
        <v>0.27500000000000002</v>
      </c>
      <c r="J14" s="198">
        <f>is!N37</f>
        <v>0.27500000000000002</v>
      </c>
      <c r="K14" s="198">
        <f>is!R37</f>
        <v>0</v>
      </c>
    </row>
    <row r="15" spans="1:11" s="197" customFormat="1" ht="2.25" customHeight="1">
      <c r="A15" s="69"/>
      <c r="B15" s="195"/>
      <c r="C15" s="195"/>
      <c r="D15" s="195"/>
      <c r="E15" s="195"/>
      <c r="F15" s="195"/>
      <c r="G15" s="195"/>
      <c r="H15" s="196"/>
      <c r="I15" s="196"/>
      <c r="J15" s="196"/>
      <c r="K15" s="196"/>
    </row>
    <row r="16" spans="1:11" ht="12.75">
      <c r="A16" s="69"/>
      <c r="B16" t="str">
        <f>workingcap!C26</f>
        <v>Accounts receivable, net (collection period in days)</v>
      </c>
      <c r="H16" s="194">
        <f>workingcap!L26</f>
        <v>43.5</v>
      </c>
      <c r="I16" s="194">
        <f>workingcap!M26</f>
        <v>43.5</v>
      </c>
      <c r="J16" s="194">
        <f>workingcap!N26</f>
        <v>43.5</v>
      </c>
      <c r="K16" s="194">
        <f>workingcap!R26</f>
        <v>0</v>
      </c>
    </row>
    <row r="17" spans="1:11" ht="12.75">
      <c r="A17" s="69"/>
      <c r="B17" t="str">
        <f>workingcap!C27</f>
        <v>Inventories (days outstanding)</v>
      </c>
      <c r="H17" s="194">
        <f>workingcap!L27</f>
        <v>102</v>
      </c>
      <c r="I17" s="194">
        <f>workingcap!M27</f>
        <v>101</v>
      </c>
      <c r="J17" s="194">
        <f>workingcap!N27</f>
        <v>100</v>
      </c>
      <c r="K17" s="194">
        <f>workingcap!R27</f>
        <v>-1</v>
      </c>
    </row>
    <row r="18" spans="1:11" ht="12.75">
      <c r="A18" s="69"/>
      <c r="B18" t="str">
        <f>workingcap!C28</f>
        <v>Other current assets (as % of sales)</v>
      </c>
      <c r="H18" s="198">
        <f>workingcap!L28</f>
        <v>3.3000000000000002E-2</v>
      </c>
      <c r="I18" s="198">
        <f>workingcap!M28</f>
        <v>3.3000000000000002E-2</v>
      </c>
      <c r="J18" s="198">
        <f>workingcap!N28</f>
        <v>3.3000000000000002E-2</v>
      </c>
      <c r="K18" s="108">
        <f>workingcap!R28</f>
        <v>0</v>
      </c>
    </row>
    <row r="19" spans="1:11" ht="12.75">
      <c r="A19" s="69"/>
      <c r="B19" t="str">
        <f>workingcap!C30</f>
        <v>Accounts payable (days outstanding)</v>
      </c>
      <c r="H19" s="194">
        <f>workingcap!L30</f>
        <v>60</v>
      </c>
      <c r="I19" s="194">
        <f>workingcap!M30</f>
        <v>60</v>
      </c>
      <c r="J19" s="194">
        <f>workingcap!N30</f>
        <v>60</v>
      </c>
      <c r="K19" s="194">
        <f>workingcap!R30</f>
        <v>0</v>
      </c>
    </row>
    <row r="20" spans="1:11" ht="12.75">
      <c r="A20" s="69"/>
      <c r="B20" t="str">
        <f>workingcap!C31</f>
        <v>Other current liabilities (as % of cost of sales)</v>
      </c>
      <c r="H20" s="198">
        <f>workingcap!L31</f>
        <v>0.19</v>
      </c>
      <c r="I20" s="198">
        <f>workingcap!M31</f>
        <v>0.19</v>
      </c>
      <c r="J20" s="198">
        <f>workingcap!N31</f>
        <v>0.19</v>
      </c>
      <c r="K20" s="198">
        <f>workingcap!R31</f>
        <v>0</v>
      </c>
    </row>
    <row r="21" spans="1:11" ht="2.25" customHeight="1">
      <c r="A21" s="69"/>
      <c r="B21" s="33"/>
      <c r="C21" s="33"/>
      <c r="D21" s="33"/>
      <c r="E21" s="33"/>
      <c r="F21" s="33"/>
      <c r="G21" s="33"/>
      <c r="H21" s="72"/>
      <c r="I21" s="72"/>
      <c r="J21" s="72"/>
      <c r="K21" s="72"/>
    </row>
    <row r="22" spans="1:11" ht="12.75">
      <c r="A22" s="69"/>
      <c r="B22" t="s">
        <v>100</v>
      </c>
      <c r="H22" s="107">
        <f>dep!L8</f>
        <v>125</v>
      </c>
      <c r="I22" s="107">
        <f>dep!M8</f>
        <v>125.23656454399998</v>
      </c>
      <c r="J22" s="107">
        <f>dep!N8</f>
        <v>130.99744651302399</v>
      </c>
      <c r="K22" s="108"/>
    </row>
    <row r="23" spans="1:11" ht="12.75">
      <c r="A23" s="69"/>
      <c r="B23" t="str">
        <f>"CapEx as a % of sales"</f>
        <v>CapEx as a % of sales</v>
      </c>
      <c r="H23" s="108">
        <f>dep!L9</f>
        <v>2.9148835352453731E-2</v>
      </c>
      <c r="I23" s="108">
        <f>dep!M9</f>
        <v>2.8000000000000001E-2</v>
      </c>
      <c r="J23" s="108">
        <f>dep!N9</f>
        <v>2.8000000000000001E-2</v>
      </c>
      <c r="K23" s="108"/>
    </row>
    <row r="24" spans="1:11" ht="12.75">
      <c r="A24" s="69"/>
      <c r="B24" t="s">
        <v>137</v>
      </c>
      <c r="H24" s="107">
        <f>dep!L18</f>
        <v>0</v>
      </c>
      <c r="I24" s="107">
        <f>dep!M18</f>
        <v>0</v>
      </c>
      <c r="J24" s="107">
        <f>dep!N18</f>
        <v>0</v>
      </c>
      <c r="K24" s="108"/>
    </row>
    <row r="25" spans="1:11" ht="2.25" customHeight="1">
      <c r="A25" s="69"/>
      <c r="B25" s="33"/>
      <c r="C25" s="33"/>
      <c r="D25" s="33"/>
      <c r="E25" s="33"/>
      <c r="F25" s="33"/>
      <c r="G25" s="33"/>
      <c r="H25" s="72"/>
      <c r="I25" s="72"/>
      <c r="J25" s="72"/>
      <c r="K25" s="72"/>
    </row>
    <row r="26" spans="1:11" ht="12.75">
      <c r="A26" s="69"/>
      <c r="B26" s="73" t="str">
        <f>equity!C9</f>
        <v>Stock-based compensation expense</v>
      </c>
      <c r="C26" s="73"/>
      <c r="D26" s="73"/>
      <c r="E26" s="73"/>
      <c r="F26" s="73"/>
      <c r="G26" s="73"/>
      <c r="H26" s="107">
        <f>equity!L9</f>
        <v>18.7</v>
      </c>
      <c r="I26" s="107">
        <f>equity!M9</f>
        <v>18.7</v>
      </c>
      <c r="J26" s="107">
        <f>equity!N9</f>
        <v>18.7</v>
      </c>
      <c r="K26" s="148"/>
    </row>
    <row r="27" spans="1:11" ht="12.75">
      <c r="A27" s="69"/>
      <c r="B27" s="73" t="str">
        <f>equity!C17</f>
        <v>Assumed current year P/E multiple</v>
      </c>
      <c r="C27" s="73"/>
      <c r="D27" s="73"/>
      <c r="E27" s="73"/>
      <c r="F27" s="73"/>
      <c r="G27" s="73"/>
      <c r="H27" s="199">
        <f>equity!L17</f>
        <v>19</v>
      </c>
      <c r="I27" s="199">
        <f>equity!M17</f>
        <v>19</v>
      </c>
      <c r="J27" s="199">
        <f>equity!N17</f>
        <v>19</v>
      </c>
      <c r="K27" s="200"/>
    </row>
    <row r="28" spans="1:11" ht="12.75">
      <c r="A28" s="69"/>
      <c r="B28" t="str">
        <f>equity!C19</f>
        <v>Shares repurchased - millions</v>
      </c>
      <c r="C28" s="73"/>
      <c r="D28" s="73"/>
      <c r="E28" s="73"/>
      <c r="F28" s="73"/>
      <c r="G28" s="73"/>
      <c r="H28" s="201">
        <f>equity!L19</f>
        <v>2.5</v>
      </c>
      <c r="I28" s="201">
        <f>equity!M19</f>
        <v>2.5</v>
      </c>
      <c r="J28" s="201">
        <f>equity!N19</f>
        <v>2.5</v>
      </c>
      <c r="K28" s="201"/>
    </row>
    <row r="29" spans="1:11" ht="12.75">
      <c r="A29" s="69"/>
      <c r="B29" s="73" t="str">
        <f>equity!C23</f>
        <v>New shares issued from options - millions</v>
      </c>
      <c r="C29" s="73"/>
      <c r="D29" s="73"/>
      <c r="E29" s="73"/>
      <c r="F29" s="73"/>
      <c r="G29" s="73"/>
      <c r="H29" s="201">
        <f>equity!L23</f>
        <v>1.5</v>
      </c>
      <c r="I29" s="201">
        <f>equity!M23</f>
        <v>1.5</v>
      </c>
      <c r="J29" s="201">
        <f>equity!N23</f>
        <v>1.5</v>
      </c>
      <c r="K29" s="201">
        <f>equity!R23</f>
        <v>0</v>
      </c>
    </row>
    <row r="30" spans="1:11" ht="12.75">
      <c r="A30" s="69"/>
      <c r="B30" s="73" t="str">
        <f>equity!C24</f>
        <v>Average strike price</v>
      </c>
      <c r="C30" s="73"/>
      <c r="D30" s="73"/>
      <c r="E30" s="73"/>
      <c r="F30" s="73"/>
      <c r="G30" s="73"/>
      <c r="H30" s="202">
        <f>equity!L24</f>
        <v>47.73</v>
      </c>
      <c r="I30" s="202">
        <f>equity!M24</f>
        <v>47.73</v>
      </c>
      <c r="J30" s="202">
        <f>equity!N24</f>
        <v>47.73</v>
      </c>
      <c r="K30" s="107"/>
    </row>
    <row r="31" spans="1:11" ht="12.75">
      <c r="A31" s="69"/>
      <c r="B31" s="73" t="str">
        <f>equity!C28</f>
        <v>Dividends</v>
      </c>
      <c r="C31" s="73"/>
      <c r="D31" s="73"/>
      <c r="E31" s="73"/>
      <c r="F31" s="73"/>
      <c r="G31" s="73"/>
      <c r="H31" s="107">
        <f ca="1">equity!L28</f>
        <v>199.8967427234854</v>
      </c>
      <c r="I31" s="107">
        <f ca="1">equity!M28</f>
        <v>210.80172290383942</v>
      </c>
      <c r="J31" s="107">
        <f ca="1">equity!N28</f>
        <v>219.55762867217527</v>
      </c>
      <c r="K31" s="148"/>
    </row>
    <row r="32" spans="1:11" s="34" customFormat="1" ht="2.25" customHeight="1">
      <c r="A32" s="69" t="s">
        <v>44</v>
      </c>
      <c r="B32" s="74"/>
      <c r="C32" s="74"/>
      <c r="D32" s="74"/>
      <c r="E32" s="74"/>
      <c r="F32" s="74"/>
      <c r="G32" s="74"/>
      <c r="H32" s="203"/>
      <c r="I32" s="203"/>
      <c r="J32" s="203"/>
      <c r="K32" s="203"/>
    </row>
    <row r="33" spans="1:11" s="34" customFormat="1" ht="15">
      <c r="A33" s="69"/>
      <c r="B33" s="73" t="str">
        <f>shares!C14</f>
        <v>Effects of dilutive securities</v>
      </c>
      <c r="C33"/>
      <c r="D33"/>
      <c r="E33"/>
      <c r="F33"/>
      <c r="H33" s="201">
        <f>shares!L14</f>
        <v>1.5</v>
      </c>
      <c r="I33" s="201">
        <f>shares!M14</f>
        <v>1.5</v>
      </c>
      <c r="J33" s="201">
        <f>shares!N14</f>
        <v>1.5</v>
      </c>
      <c r="K33" s="201"/>
    </row>
    <row r="34" spans="1:11" s="34" customFormat="1" ht="2.25" customHeight="1">
      <c r="A34" s="69"/>
      <c r="B34" s="74"/>
      <c r="C34" s="74"/>
      <c r="D34" s="74"/>
      <c r="E34" s="74"/>
      <c r="F34" s="74"/>
      <c r="G34" s="74"/>
      <c r="H34" s="203"/>
      <c r="I34" s="203"/>
      <c r="J34" s="203"/>
      <c r="K34" s="203"/>
    </row>
    <row r="35" spans="1:11" s="34" customFormat="1" ht="15">
      <c r="A35" s="69"/>
      <c r="B35" s="73" t="s">
        <v>138</v>
      </c>
      <c r="C35" s="73"/>
      <c r="D35" s="73"/>
      <c r="E35" s="73"/>
      <c r="F35" s="73"/>
      <c r="G35" s="73"/>
      <c r="H35" s="107">
        <f>-debt_interest!L12</f>
        <v>50</v>
      </c>
      <c r="I35" s="107">
        <f>-debt_interest!M12</f>
        <v>50</v>
      </c>
      <c r="J35" s="107">
        <f>-debt_interest!N12</f>
        <v>50</v>
      </c>
      <c r="K35" s="204"/>
    </row>
    <row r="36" spans="1:11" s="34" customFormat="1" ht="15">
      <c r="A36" s="69"/>
      <c r="B36" s="73" t="str">
        <f>debt_interest!B18&amp;" " &amp;debt_interest!I33</f>
        <v>Revolver Interest rate</v>
      </c>
      <c r="C36" s="73"/>
      <c r="D36" s="73"/>
      <c r="E36" s="73"/>
      <c r="F36" s="73"/>
      <c r="G36" s="73"/>
      <c r="H36" s="318">
        <f>debt_interest!L33</f>
        <v>1.1050000000000001E-2</v>
      </c>
      <c r="I36" s="318">
        <f>debt_interest!M33</f>
        <v>1.405E-2</v>
      </c>
      <c r="J36" s="318">
        <f>debt_interest!N33</f>
        <v>1.7050000000000003E-2</v>
      </c>
      <c r="K36" s="204"/>
    </row>
    <row r="37" spans="1:11" s="34" customFormat="1" ht="15">
      <c r="A37" s="69"/>
      <c r="B37" s="16" t="str">
        <f>debt_interest!B23 &amp;" " &amp;debt_interest!I37</f>
        <v>Long-term debt Interest rate</v>
      </c>
      <c r="C37" s="73"/>
      <c r="D37" s="73"/>
      <c r="E37" s="73"/>
      <c r="F37" s="73"/>
      <c r="G37" s="73"/>
      <c r="H37" s="318">
        <f>debt_interest!L37</f>
        <v>4.3400000000000001E-2</v>
      </c>
      <c r="I37" s="318">
        <f>debt_interest!M37</f>
        <v>4.3400000000000001E-2</v>
      </c>
      <c r="J37" s="318">
        <f>debt_interest!N37</f>
        <v>4.3400000000000001E-2</v>
      </c>
      <c r="K37" s="204"/>
    </row>
    <row r="38" spans="1:11" s="34" customFormat="1" ht="15">
      <c r="A38" s="69"/>
      <c r="B38" s="16" t="str">
        <f>debt_interest!B18 &amp;" " &amp;debt_interest!I33</f>
        <v>Revolver Interest rate</v>
      </c>
      <c r="C38" s="597"/>
      <c r="D38" s="73"/>
      <c r="E38" s="73"/>
      <c r="F38" s="73"/>
      <c r="G38" s="73"/>
      <c r="H38" s="318">
        <f>debt_interest!L43</f>
        <v>5.0000000000000001E-3</v>
      </c>
      <c r="I38" s="318">
        <f>debt_interest!M43</f>
        <v>5.0000000000000001E-3</v>
      </c>
      <c r="J38" s="318">
        <f>debt_interest!N43</f>
        <v>5.0000000000000001E-3</v>
      </c>
      <c r="K38" s="148"/>
    </row>
    <row r="39" spans="1:11" s="34" customFormat="1" ht="2.25" customHeight="1">
      <c r="A39" s="69"/>
      <c r="B39" s="74"/>
      <c r="C39" s="74"/>
      <c r="D39" s="74"/>
      <c r="E39" s="74"/>
      <c r="F39" s="74"/>
      <c r="G39" s="74"/>
      <c r="H39" s="74"/>
      <c r="I39" s="74"/>
      <c r="J39" s="74"/>
      <c r="K39" s="74"/>
    </row>
    <row r="40" spans="1:11" s="34" customFormat="1" ht="15">
      <c r="A40" s="69" t="s">
        <v>43</v>
      </c>
      <c r="B40" s="7"/>
      <c r="C40" s="73"/>
      <c r="D40" s="73"/>
      <c r="E40" s="73"/>
      <c r="F40" s="81">
        <f>is!$P$5</f>
        <v>2018</v>
      </c>
      <c r="G40" s="81">
        <f>is!$P$5</f>
        <v>2018</v>
      </c>
      <c r="H40" s="81">
        <f>is!$P$5</f>
        <v>2018</v>
      </c>
      <c r="I40" s="73"/>
    </row>
    <row r="41" spans="1:11" ht="15">
      <c r="A41" s="69"/>
      <c r="B41" s="34"/>
      <c r="F41" s="81" t="s">
        <v>85</v>
      </c>
      <c r="G41" s="81" t="s">
        <v>84</v>
      </c>
      <c r="H41" s="81" t="s">
        <v>50</v>
      </c>
      <c r="I41" s="34"/>
      <c r="J41" s="34"/>
      <c r="K41" s="34"/>
    </row>
    <row r="42" spans="1:11" ht="15">
      <c r="A42" s="69"/>
      <c r="B42" s="34"/>
      <c r="F42" s="598">
        <f>is!P12</f>
        <v>944.81573318333949</v>
      </c>
      <c r="G42" s="109">
        <f>is!P16</f>
        <v>796.25376307878491</v>
      </c>
      <c r="H42" s="110">
        <f ca="1">is!P29</f>
        <v>4.6218070625463863</v>
      </c>
      <c r="I42" s="34"/>
      <c r="J42" s="34"/>
      <c r="K42" s="34"/>
    </row>
  </sheetData>
  <phoneticPr fontId="17" type="noConversion"/>
  <pageMargins left="0.5" right="0.5" top="0.5" bottom="0.65" header="0.25" footer="0.25"/>
  <pageSetup orientation="landscape" r:id="rId1"/>
  <headerFooter alignWithMargins="0">
    <oddFooter>&amp;C&amp;8&amp;G&amp;R&amp;8For training purposes only!&amp;L&amp;8COPYRIGHT 2017 © by Training The Street, Inc</oddFooter>
  </headerFooter>
  <legacyDrawingHF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
  <sheetViews>
    <sheetView workbookViewId="0"/>
  </sheetViews>
  <sheetFormatPr defaultColWidth="8.85546875" defaultRowHeight="12.75"/>
  <sheetData>
    <row r="1" spans="1:8">
      <c r="A1">
        <v>8</v>
      </c>
      <c r="B1" t="s">
        <v>276</v>
      </c>
      <c r="C1" t="s">
        <v>277</v>
      </c>
      <c r="D1" t="s">
        <v>278</v>
      </c>
      <c r="E1" t="s">
        <v>279</v>
      </c>
      <c r="F1" t="s">
        <v>280</v>
      </c>
      <c r="G1" t="s">
        <v>281</v>
      </c>
      <c r="H1" t="s">
        <v>282</v>
      </c>
    </row>
  </sheetData>
  <pageMargins left="0.7" right="0.7" top="0.75" bottom="0.75" header="0.3" footer="0.3"/>
  <pageSetup orientation="portrait" r:id="rId1"/>
  <headerFooter>
    <oddFooter>&amp;L&amp;8COPYRIGHT 2017 © by Training The Street, Inc</oddFooter>
  </headerFooter>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L88"/>
  <sheetViews>
    <sheetView showGridLines="0" zoomScaleSheetLayoutView="30" workbookViewId="0">
      <selection activeCell="A7" sqref="A7"/>
    </sheetView>
  </sheetViews>
  <sheetFormatPr defaultColWidth="8.85546875" defaultRowHeight="13.15" customHeight="1" outlineLevelRow="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7" width="2.7109375" customWidth="1"/>
    <col min="18" max="18" width="11.28515625" customWidth="1"/>
    <col min="19" max="19" width="2.7109375" customWidth="1"/>
    <col min="20" max="20" width="9.140625" customWidth="1"/>
    <col min="21" max="21" width="11" customWidth="1"/>
    <col min="22" max="22" width="9.7109375" customWidth="1"/>
    <col min="23" max="25" width="9.28515625" customWidth="1"/>
    <col min="26" max="28" width="9.140625" customWidth="1"/>
    <col min="29" max="29" width="16.28515625" customWidth="1"/>
    <col min="30" max="30" width="33.7109375" customWidth="1"/>
    <col min="31" max="31" width="2.28515625" customWidth="1"/>
    <col min="32" max="32" width="10.140625" bestFit="1" customWidth="1"/>
    <col min="33" max="33" width="28.140625" customWidth="1"/>
    <col min="34" max="34" width="2.28515625" customWidth="1"/>
    <col min="35" max="35" width="10.140625" bestFit="1" customWidth="1"/>
    <col min="36" max="36" width="28.140625" customWidth="1"/>
  </cols>
  <sheetData>
    <row r="1" spans="1:38" s="28" customFormat="1" ht="18.75" thickBot="1">
      <c r="A1" s="642" t="s">
        <v>249</v>
      </c>
      <c r="B1" s="44" t="str">
        <f>"Income Statement for "&amp;name</f>
        <v>Income Statement for McCormick &amp; Co. Inc.</v>
      </c>
      <c r="Q1" s="45"/>
      <c r="R1" s="408"/>
      <c r="S1" s="53"/>
      <c r="T1" s="53"/>
      <c r="V1" s="54"/>
      <c r="AC1" s="412" t="s">
        <v>211</v>
      </c>
      <c r="AD1" s="421"/>
      <c r="AE1" s="421"/>
      <c r="AF1" s="412"/>
      <c r="AG1" s="421"/>
      <c r="AH1" s="421"/>
      <c r="AI1" s="421"/>
      <c r="AJ1" s="422"/>
    </row>
    <row r="2" spans="1:38" s="28" customFormat="1" ht="12.75">
      <c r="A2" s="642"/>
      <c r="B2" s="46" t="str">
        <f>Subheader</f>
        <v>Dollars in millions, except per share data</v>
      </c>
      <c r="C2" s="47"/>
      <c r="D2" s="47"/>
      <c r="E2" s="47"/>
      <c r="F2" s="47"/>
      <c r="G2" s="47"/>
      <c r="H2" s="47"/>
      <c r="I2" s="47"/>
      <c r="J2" s="84"/>
      <c r="K2" s="84"/>
      <c r="L2" s="47"/>
      <c r="M2" s="47"/>
      <c r="N2" s="47"/>
      <c r="O2" s="47"/>
      <c r="P2" s="47"/>
      <c r="Q2" s="47"/>
      <c r="R2" s="47"/>
      <c r="S2" s="53"/>
      <c r="T2" s="53"/>
      <c r="V2" s="55"/>
      <c r="W2" s="55"/>
      <c r="X2" s="55"/>
      <c r="Y2" s="55"/>
      <c r="AA2" s="286"/>
      <c r="AB2" s="286"/>
      <c r="AC2" s="425" t="str">
        <f>"Fiscal Year "&amp;$K$5</f>
        <v>Fiscal Year 2013</v>
      </c>
      <c r="AD2" s="426"/>
      <c r="AE2" s="427"/>
      <c r="AF2" s="428" t="str">
        <f>"Fiscal Year "&amp;$J$5</f>
        <v>Fiscal Year 2012</v>
      </c>
      <c r="AG2" s="426"/>
      <c r="AH2" s="427"/>
      <c r="AI2" s="428" t="str">
        <f>"Fiscal Year "&amp;$I$5</f>
        <v>Fiscal Year 2011</v>
      </c>
      <c r="AJ2" s="429"/>
    </row>
    <row r="3" spans="1:38" s="28" customFormat="1" ht="12.75">
      <c r="A3" s="642"/>
      <c r="L3"/>
      <c r="M3"/>
      <c r="R3" s="48" t="str">
        <f>K5&amp;" - "&amp;P5</f>
        <v>2013 - 2018</v>
      </c>
      <c r="S3"/>
      <c r="T3"/>
      <c r="V3" s="55"/>
      <c r="W3" s="55"/>
      <c r="X3" s="55"/>
      <c r="Y3" s="55"/>
      <c r="AA3" s="286"/>
      <c r="AB3" s="286"/>
      <c r="AC3" s="538" t="s">
        <v>268</v>
      </c>
      <c r="AD3" s="145"/>
      <c r="AE3" s="286"/>
      <c r="AF3" s="414" t="s">
        <v>254</v>
      </c>
      <c r="AG3" s="29"/>
      <c r="AH3" s="286"/>
      <c r="AI3" s="414" t="s">
        <v>255</v>
      </c>
      <c r="AJ3" s="537"/>
    </row>
    <row r="4" spans="1:38" s="28" customFormat="1" ht="12.75">
      <c r="A4" s="642"/>
      <c r="I4" s="524" t="str">
        <f>"Historical Year Ending "&amp;TEXT(FYE,"Mmmm Dd,")</f>
        <v>Historical Year Ending November 30,</v>
      </c>
      <c r="J4" s="524"/>
      <c r="K4" s="218"/>
      <c r="L4" s="373" t="str">
        <f>"Projected Year Ending "&amp;TEXT(FYE,"Mmmm Dd,")</f>
        <v>Projected Year Ending November 30,</v>
      </c>
      <c r="M4" s="524"/>
      <c r="N4" s="524"/>
      <c r="O4" s="524"/>
      <c r="P4" s="524"/>
      <c r="R4" s="146" t="s">
        <v>82</v>
      </c>
      <c r="S4"/>
      <c r="T4"/>
      <c r="V4"/>
      <c r="AA4" s="29"/>
      <c r="AB4" s="29"/>
      <c r="AC4" s="475" t="s">
        <v>269</v>
      </c>
      <c r="AD4" s="145"/>
      <c r="AE4" s="286"/>
      <c r="AF4" s="237" t="s">
        <v>253</v>
      </c>
      <c r="AG4" s="29"/>
      <c r="AH4" s="286"/>
      <c r="AI4" s="237" t="s">
        <v>256</v>
      </c>
      <c r="AJ4" s="537"/>
    </row>
    <row r="5" spans="1:38" s="28" customFormat="1" ht="12.75">
      <c r="A5" s="642"/>
      <c r="C5"/>
      <c r="D5"/>
      <c r="E5"/>
      <c r="I5" s="589">
        <f>J5-1</f>
        <v>2011</v>
      </c>
      <c r="J5" s="589">
        <f>K5-1</f>
        <v>2012</v>
      </c>
      <c r="K5" s="628">
        <f>YEAR(FYE)</f>
        <v>2013</v>
      </c>
      <c r="L5" s="523">
        <f>K5+1</f>
        <v>2014</v>
      </c>
      <c r="M5" s="523">
        <f>L5+1</f>
        <v>2015</v>
      </c>
      <c r="N5" s="523">
        <f>M5+1</f>
        <v>2016</v>
      </c>
      <c r="O5" s="523">
        <f>N5+1</f>
        <v>2017</v>
      </c>
      <c r="P5" s="523">
        <f>O5+1</f>
        <v>2018</v>
      </c>
      <c r="S5" s="53"/>
      <c r="T5" s="53"/>
      <c r="AA5" s="29"/>
      <c r="AB5" s="29"/>
      <c r="AC5" s="476">
        <v>15.9</v>
      </c>
      <c r="AD5" s="393" t="s">
        <v>158</v>
      </c>
      <c r="AE5" s="286"/>
      <c r="AF5" s="555">
        <v>1.7</v>
      </c>
      <c r="AG5" s="145" t="s">
        <v>160</v>
      </c>
      <c r="AH5" s="286"/>
      <c r="AI5" s="555">
        <v>10.9</v>
      </c>
      <c r="AJ5" s="285" t="s">
        <v>160</v>
      </c>
    </row>
    <row r="6" spans="1:38" s="28" customFormat="1" ht="12.75">
      <c r="A6" s="642"/>
      <c r="I6" s="437"/>
      <c r="J6" s="29"/>
      <c r="K6" s="537"/>
      <c r="L6" s="29"/>
      <c r="M6" s="29"/>
      <c r="N6" s="29"/>
      <c r="O6" s="29"/>
      <c r="P6" s="29"/>
      <c r="Q6" s="50"/>
      <c r="S6" s="20"/>
      <c r="T6" s="20"/>
      <c r="AA6" s="29"/>
      <c r="AB6" s="29"/>
      <c r="AC6" s="539">
        <v>6.4</v>
      </c>
      <c r="AD6" s="393" t="s">
        <v>252</v>
      </c>
      <c r="AE6" s="286"/>
      <c r="AF6" s="414">
        <f>AF7-AF5</f>
        <v>-1.2019</v>
      </c>
      <c r="AG6" s="145" t="s">
        <v>161</v>
      </c>
      <c r="AH6" s="286"/>
      <c r="AI6" s="414">
        <f>AI7-AI5</f>
        <v>-7.7063000000000006</v>
      </c>
      <c r="AJ6" s="285" t="s">
        <v>161</v>
      </c>
    </row>
    <row r="7" spans="1:38" s="28" customFormat="1" ht="12.75">
      <c r="A7" s="642" t="s">
        <v>43</v>
      </c>
      <c r="B7" s="28" t="s">
        <v>83</v>
      </c>
      <c r="F7"/>
      <c r="G7"/>
      <c r="H7"/>
      <c r="I7" s="415">
        <v>3697.6</v>
      </c>
      <c r="J7" s="415">
        <v>4014.2</v>
      </c>
      <c r="K7" s="629">
        <v>4123.3999999999996</v>
      </c>
      <c r="L7" s="15">
        <f>K7*(1+L33)</f>
        <v>4288.3359999999993</v>
      </c>
      <c r="M7" s="15">
        <f t="shared" ref="M7:P7" si="0">L7*(1+M33)</f>
        <v>4472.7344479999992</v>
      </c>
      <c r="N7" s="15">
        <f t="shared" si="0"/>
        <v>4678.4802326079998</v>
      </c>
      <c r="O7" s="15">
        <f t="shared" si="0"/>
        <v>4907.7257640057915</v>
      </c>
      <c r="P7" s="15">
        <f t="shared" si="0"/>
        <v>5162.9275037340931</v>
      </c>
      <c r="Q7" s="50"/>
      <c r="R7" s="221">
        <f>RATE($P$5-$K$5,0,-K7,P7,0)</f>
        <v>4.5991395708611792E-2</v>
      </c>
      <c r="S7" s="130"/>
      <c r="T7" s="130"/>
      <c r="U7" s="303"/>
      <c r="AA7" s="29"/>
      <c r="AB7" s="29"/>
      <c r="AC7" s="540">
        <v>2.7</v>
      </c>
      <c r="AD7" s="393" t="s">
        <v>266</v>
      </c>
      <c r="AE7" s="286"/>
      <c r="AF7" s="416">
        <f>$AC$23*AF5</f>
        <v>0.49809999999999993</v>
      </c>
      <c r="AG7" s="145" t="s">
        <v>162</v>
      </c>
      <c r="AH7" s="286"/>
      <c r="AI7" s="416">
        <f>$AC$23*AI5</f>
        <v>3.1936999999999998</v>
      </c>
      <c r="AJ7" s="285" t="s">
        <v>162</v>
      </c>
    </row>
    <row r="8" spans="1:38" s="28" customFormat="1" ht="12.75">
      <c r="A8" s="642"/>
      <c r="B8" s="50" t="s">
        <v>219</v>
      </c>
      <c r="F8"/>
      <c r="G8"/>
      <c r="H8"/>
      <c r="I8" s="62">
        <f>2175.1-I14</f>
        <v>2080.1</v>
      </c>
      <c r="J8" s="62">
        <f>2396.4-J14</f>
        <v>2297.9</v>
      </c>
      <c r="K8" s="210">
        <f>2457.6-K14</f>
        <v>2356.7999999999997</v>
      </c>
      <c r="L8" s="21">
        <f>L7*(1-L34)</f>
        <v>2431.4865119999995</v>
      </c>
      <c r="M8" s="21">
        <f t="shared" ref="M8:P8" si="1">M7*(1-M34)</f>
        <v>2527.0949631199992</v>
      </c>
      <c r="N8" s="21">
        <f t="shared" si="1"/>
        <v>2633.9843709583038</v>
      </c>
      <c r="O8" s="21">
        <f t="shared" si="1"/>
        <v>2753.2341536072486</v>
      </c>
      <c r="P8" s="21">
        <f t="shared" si="1"/>
        <v>2886.0764745873576</v>
      </c>
      <c r="Q8" s="50"/>
      <c r="R8" s="222"/>
      <c r="S8" s="53"/>
      <c r="T8" s="53"/>
      <c r="AA8" s="29"/>
      <c r="AB8" s="29"/>
      <c r="AC8" s="541">
        <f>SUM(AC5:AC7)</f>
        <v>25</v>
      </c>
      <c r="AD8" s="145" t="s">
        <v>270</v>
      </c>
      <c r="AE8" s="141"/>
      <c r="AF8" s="141"/>
      <c r="AG8" s="141"/>
      <c r="AH8" s="141"/>
      <c r="AI8" s="141"/>
      <c r="AJ8" s="140"/>
    </row>
    <row r="9" spans="1:38" s="28" customFormat="1" ht="12.75">
      <c r="A9" s="642"/>
      <c r="B9" s="63"/>
      <c r="C9" s="63" t="s">
        <v>5</v>
      </c>
      <c r="F9"/>
      <c r="G9"/>
      <c r="H9"/>
      <c r="I9" s="600">
        <f>I7-I8</f>
        <v>1617.5</v>
      </c>
      <c r="J9" s="600">
        <f t="shared" ref="J9:L9" si="2">J7-J8</f>
        <v>1716.2999999999997</v>
      </c>
      <c r="K9" s="630">
        <f t="shared" si="2"/>
        <v>1766.6</v>
      </c>
      <c r="L9" s="600">
        <f t="shared" si="2"/>
        <v>1856.8494879999998</v>
      </c>
      <c r="M9" s="600">
        <f t="shared" ref="M9" si="3">M7-M8</f>
        <v>1945.6394848800001</v>
      </c>
      <c r="N9" s="600">
        <f t="shared" ref="N9" si="4">N7-N8</f>
        <v>2044.4958616496961</v>
      </c>
      <c r="O9" s="600">
        <f t="shared" ref="O9" si="5">O7-O8</f>
        <v>2154.4916103985429</v>
      </c>
      <c r="P9" s="600">
        <f t="shared" ref="P9" si="6">P7-P8</f>
        <v>2276.8510291467355</v>
      </c>
      <c r="Q9" s="50"/>
      <c r="R9" s="221">
        <f>RATE($P$5-$K$5,0,-K9,P9,0)</f>
        <v>5.2057018652654254E-2</v>
      </c>
      <c r="S9" s="41"/>
      <c r="T9" s="41"/>
      <c r="U9"/>
      <c r="V9"/>
      <c r="AA9" s="29"/>
      <c r="AB9" s="29"/>
      <c r="AC9" s="540">
        <v>15.3</v>
      </c>
      <c r="AD9" s="393" t="s">
        <v>251</v>
      </c>
      <c r="AE9" s="141"/>
      <c r="AF9" s="141"/>
      <c r="AG9" s="141"/>
      <c r="AH9" s="141"/>
      <c r="AI9" s="141"/>
      <c r="AJ9" s="140"/>
      <c r="AK9" s="214"/>
    </row>
    <row r="10" spans="1:38" s="28" customFormat="1" ht="12.75">
      <c r="A10" s="642"/>
      <c r="B10" s="63"/>
      <c r="E10" s="53"/>
      <c r="F10"/>
      <c r="G10"/>
      <c r="H10"/>
      <c r="I10" s="214"/>
      <c r="J10" s="214"/>
      <c r="K10" s="631"/>
      <c r="L10" s="141"/>
      <c r="M10" s="141"/>
      <c r="N10" s="141"/>
      <c r="O10" s="141"/>
      <c r="P10" s="141"/>
      <c r="Q10" s="50"/>
      <c r="S10"/>
      <c r="T10"/>
      <c r="U10" s="394"/>
      <c r="V10"/>
      <c r="AA10" s="29"/>
      <c r="AB10" s="29"/>
      <c r="AC10" s="542">
        <f>SUM(AC8:AC9)</f>
        <v>40.299999999999997</v>
      </c>
      <c r="AD10" s="216" t="s">
        <v>271</v>
      </c>
      <c r="AE10" s="141"/>
      <c r="AF10" s="141"/>
      <c r="AG10" s="141"/>
      <c r="AH10" s="141"/>
      <c r="AI10" s="141"/>
      <c r="AJ10" s="140"/>
      <c r="AK10" s="281"/>
      <c r="AL10" s="393"/>
    </row>
    <row r="11" spans="1:38" s="28" customFormat="1" ht="12.75">
      <c r="A11" s="642"/>
      <c r="B11" s="50" t="s">
        <v>257</v>
      </c>
      <c r="E11"/>
      <c r="F11"/>
      <c r="G11"/>
      <c r="H11"/>
      <c r="I11" s="62">
        <f>982.2-I15-AI5</f>
        <v>968.00000000000011</v>
      </c>
      <c r="J11" s="62">
        <f>1039.5-J15-AF5</f>
        <v>1033.5</v>
      </c>
      <c r="K11" s="210">
        <f>1075-K15-AC16</f>
        <v>1065.5</v>
      </c>
      <c r="L11" s="21">
        <f>L35*L7</f>
        <v>1123.5440319999998</v>
      </c>
      <c r="M11" s="21">
        <f t="shared" ref="M11:P11" si="7">M35*M7</f>
        <v>1167.3836909279999</v>
      </c>
      <c r="N11" s="21">
        <f t="shared" si="7"/>
        <v>1216.4048604780801</v>
      </c>
      <c r="O11" s="21">
        <f t="shared" si="7"/>
        <v>1271.1009728775</v>
      </c>
      <c r="P11" s="21">
        <f t="shared" si="7"/>
        <v>1332.035295963396</v>
      </c>
      <c r="Q11" s="50"/>
      <c r="S11"/>
      <c r="T11"/>
      <c r="U11"/>
      <c r="V11"/>
      <c r="AA11" s="430"/>
      <c r="AB11" s="430"/>
      <c r="AC11" s="540">
        <v>-29.2</v>
      </c>
      <c r="AD11" s="393" t="s">
        <v>272</v>
      </c>
      <c r="AE11" s="141"/>
      <c r="AF11" s="141"/>
      <c r="AG11" s="141"/>
      <c r="AH11" s="141"/>
      <c r="AI11" s="141"/>
      <c r="AJ11" s="140"/>
    </row>
    <row r="12" spans="1:38" s="63" customFormat="1" ht="12.75">
      <c r="A12" s="642" t="s">
        <v>43</v>
      </c>
      <c r="C12" s="63" t="s">
        <v>85</v>
      </c>
      <c r="E12" s="16"/>
      <c r="F12" s="23"/>
      <c r="G12" s="23"/>
      <c r="H12" s="16"/>
      <c r="I12" s="600">
        <f>I9-I11</f>
        <v>649.49999999999989</v>
      </c>
      <c r="J12" s="600">
        <f t="shared" ref="J12:K12" si="8">J9-J11</f>
        <v>682.79999999999973</v>
      </c>
      <c r="K12" s="630">
        <f t="shared" si="8"/>
        <v>701.09999999999991</v>
      </c>
      <c r="L12" s="600">
        <f t="shared" ref="L12" si="9">L9-L11</f>
        <v>733.30545600000005</v>
      </c>
      <c r="M12" s="600">
        <f t="shared" ref="M12" si="10">M9-M11</f>
        <v>778.2557939520002</v>
      </c>
      <c r="N12" s="600">
        <f t="shared" ref="N12" si="11">N9-N11</f>
        <v>828.09100117161597</v>
      </c>
      <c r="O12" s="600">
        <f t="shared" ref="O12" si="12">O9-O11</f>
        <v>883.39063752104289</v>
      </c>
      <c r="P12" s="600">
        <f t="shared" ref="P12" si="13">P9-P11</f>
        <v>944.81573318333949</v>
      </c>
      <c r="Q12" s="50"/>
      <c r="R12" s="221">
        <f>RATE($P$5-$K$5,0,-K12,P12,0)</f>
        <v>6.1483945171963088E-2</v>
      </c>
      <c r="S12" s="121"/>
      <c r="T12" s="121"/>
      <c r="U12" s="513"/>
      <c r="AA12" s="145"/>
      <c r="AB12" s="145"/>
      <c r="AC12" s="578">
        <f>SUM(AC10:AC11)</f>
        <v>11.099999999999998</v>
      </c>
      <c r="AD12" s="393" t="s">
        <v>159</v>
      </c>
      <c r="AE12" s="141"/>
      <c r="AF12" s="141"/>
      <c r="AG12" s="141"/>
      <c r="AH12" s="141"/>
      <c r="AI12" s="141"/>
      <c r="AJ12" s="140"/>
      <c r="AK12" s="215"/>
    </row>
    <row r="13" spans="1:38" s="28" customFormat="1" ht="12.75">
      <c r="A13" s="642"/>
      <c r="B13" s="63"/>
      <c r="D13" s="53"/>
      <c r="E13"/>
      <c r="F13" s="6"/>
      <c r="G13" s="6"/>
      <c r="H13"/>
      <c r="I13" s="315"/>
      <c r="J13" s="29"/>
      <c r="K13" s="210"/>
      <c r="L13" s="252"/>
      <c r="M13" s="141"/>
      <c r="N13" s="141"/>
      <c r="O13" s="141"/>
      <c r="P13" s="141"/>
      <c r="Q13" s="50"/>
      <c r="R13" s="222"/>
      <c r="S13" s="53"/>
      <c r="T13" s="53"/>
      <c r="U13" s="520"/>
      <c r="V13" s="193"/>
      <c r="AA13" s="29"/>
      <c r="AB13" s="29"/>
      <c r="AC13" s="475"/>
      <c r="AD13" s="29"/>
      <c r="AE13" s="141"/>
      <c r="AF13" s="141"/>
      <c r="AG13" s="141"/>
      <c r="AH13" s="141"/>
      <c r="AI13" s="141"/>
      <c r="AJ13" s="140"/>
      <c r="AK13" s="216"/>
    </row>
    <row r="14" spans="1:38" s="28" customFormat="1" ht="12.75">
      <c r="A14" s="642"/>
      <c r="B14" s="63" t="s">
        <v>258</v>
      </c>
      <c r="F14" s="52"/>
      <c r="G14" s="52"/>
      <c r="H14" s="6"/>
      <c r="I14" s="62">
        <f>98.3-I15</f>
        <v>95</v>
      </c>
      <c r="J14" s="62">
        <f>102.8-J15</f>
        <v>98.5</v>
      </c>
      <c r="K14" s="210">
        <f>106-K15</f>
        <v>100.8</v>
      </c>
      <c r="L14" s="227">
        <f>dep!L11</f>
        <v>109</v>
      </c>
      <c r="M14" s="227">
        <f>dep!M11</f>
        <v>110.20817679871998</v>
      </c>
      <c r="N14" s="227">
        <f>dep!N11</f>
        <v>120.51765079198208</v>
      </c>
      <c r="O14" s="227">
        <f>dep!O11</f>
        <v>131.91966853647568</v>
      </c>
      <c r="P14" s="227">
        <f>dep!P11</f>
        <v>144.5619701045546</v>
      </c>
      <c r="Q14" s="50"/>
      <c r="R14" s="222"/>
      <c r="S14" s="53"/>
      <c r="T14" s="53"/>
      <c r="V14" s="144"/>
      <c r="AA14" s="29"/>
      <c r="AB14" s="29"/>
      <c r="AC14" s="538" t="s">
        <v>254</v>
      </c>
      <c r="AD14" s="29"/>
      <c r="AE14" s="141"/>
      <c r="AF14" s="141"/>
      <c r="AG14" s="141"/>
      <c r="AH14" s="141"/>
      <c r="AI14" s="141"/>
      <c r="AJ14" s="140"/>
    </row>
    <row r="15" spans="1:38" s="28" customFormat="1" ht="12.75">
      <c r="A15" s="642"/>
      <c r="B15" s="50" t="s">
        <v>207</v>
      </c>
      <c r="G15" s="52"/>
      <c r="H15" s="205"/>
      <c r="I15" s="62">
        <v>3.3</v>
      </c>
      <c r="J15" s="62">
        <v>4.3</v>
      </c>
      <c r="K15" s="210">
        <v>5.2</v>
      </c>
      <c r="L15" s="227">
        <f>amort!L11</f>
        <v>4</v>
      </c>
      <c r="M15" s="227">
        <f>amort!M11</f>
        <v>4</v>
      </c>
      <c r="N15" s="227">
        <f>amort!N11</f>
        <v>4</v>
      </c>
      <c r="O15" s="227">
        <f>amort!O11</f>
        <v>4</v>
      </c>
      <c r="P15" s="227">
        <f>amort!P11</f>
        <v>4</v>
      </c>
      <c r="Q15" s="50"/>
      <c r="R15" s="219"/>
      <c r="S15" s="53"/>
      <c r="T15" s="53"/>
      <c r="V15" s="62"/>
      <c r="AA15" s="410"/>
      <c r="AB15" s="410"/>
      <c r="AC15" s="474" t="s">
        <v>253</v>
      </c>
      <c r="AD15" s="29"/>
      <c r="AE15" s="141"/>
      <c r="AF15" s="141"/>
      <c r="AG15" s="141"/>
      <c r="AH15" s="141"/>
      <c r="AI15" s="141"/>
      <c r="AJ15" s="140"/>
    </row>
    <row r="16" spans="1:38" s="28" customFormat="1" ht="12.75">
      <c r="A16" s="642" t="s">
        <v>43</v>
      </c>
      <c r="C16" s="63" t="s">
        <v>259</v>
      </c>
      <c r="G16" s="52"/>
      <c r="H16"/>
      <c r="I16" s="601">
        <f>I12-SUM(I14:I15)</f>
        <v>551.19999999999993</v>
      </c>
      <c r="J16" s="601">
        <f t="shared" ref="J16:K16" si="14">J12-SUM(J14:J15)</f>
        <v>579.99999999999977</v>
      </c>
      <c r="K16" s="632">
        <f t="shared" si="14"/>
        <v>595.09999999999991</v>
      </c>
      <c r="L16" s="601">
        <f t="shared" ref="L16" si="15">L12-SUM(L14:L15)</f>
        <v>620.30545600000005</v>
      </c>
      <c r="M16" s="601">
        <f t="shared" ref="M16" si="16">M12-SUM(M14:M15)</f>
        <v>664.04761715328027</v>
      </c>
      <c r="N16" s="601">
        <f t="shared" ref="N16" si="17">N12-SUM(N14:N15)</f>
        <v>703.57335037963389</v>
      </c>
      <c r="O16" s="601">
        <f t="shared" ref="O16" si="18">O12-SUM(O14:O15)</f>
        <v>747.47096898456721</v>
      </c>
      <c r="P16" s="601">
        <f t="shared" ref="P16" si="19">P12-SUM(P14:P15)</f>
        <v>796.25376307878491</v>
      </c>
      <c r="Q16" s="50"/>
      <c r="R16" s="221">
        <f>RATE($P$5-$K$5,0,-K16,P16,0)</f>
        <v>5.996691444085854E-2</v>
      </c>
      <c r="S16" s="53"/>
      <c r="T16" s="53"/>
      <c r="AA16" s="29"/>
      <c r="AB16" s="29"/>
      <c r="AC16" s="554">
        <v>4.3</v>
      </c>
      <c r="AD16" s="145" t="s">
        <v>160</v>
      </c>
      <c r="AE16" s="141"/>
      <c r="AF16" s="141"/>
      <c r="AG16" s="141"/>
      <c r="AH16" s="141"/>
      <c r="AI16" s="141"/>
      <c r="AJ16" s="140"/>
    </row>
    <row r="17" spans="1:37" s="28" customFormat="1" ht="12.75">
      <c r="A17" s="642"/>
      <c r="C17" s="53"/>
      <c r="H17"/>
      <c r="I17" s="315"/>
      <c r="J17" s="315"/>
      <c r="K17" s="631"/>
      <c r="L17" s="141"/>
      <c r="M17" s="141"/>
      <c r="N17" s="141"/>
      <c r="O17" s="141"/>
      <c r="P17" s="141"/>
      <c r="Q17" s="50"/>
      <c r="R17" s="222"/>
      <c r="U17" s="54" t="s">
        <v>46</v>
      </c>
      <c r="AA17" s="29"/>
      <c r="AB17" s="29"/>
      <c r="AC17" s="538">
        <f>AC18-AC16</f>
        <v>-3.0400999999999998</v>
      </c>
      <c r="AD17" s="145" t="s">
        <v>161</v>
      </c>
      <c r="AE17" s="141"/>
      <c r="AF17" s="141"/>
      <c r="AG17" s="141"/>
      <c r="AH17" s="141"/>
      <c r="AI17" s="141"/>
      <c r="AJ17" s="140"/>
    </row>
    <row r="18" spans="1:37" s="28" customFormat="1" ht="12.75">
      <c r="A18" s="642"/>
      <c r="B18" s="28" t="s">
        <v>47</v>
      </c>
      <c r="E18" s="53"/>
      <c r="H18"/>
      <c r="I18" s="62">
        <v>51.2</v>
      </c>
      <c r="J18" s="62">
        <v>54.6</v>
      </c>
      <c r="K18" s="210">
        <v>53.3</v>
      </c>
      <c r="L18" s="227">
        <f ca="1">debt_interest!L40</f>
        <v>45.805219682803383</v>
      </c>
      <c r="M18" s="227">
        <f ca="1">debt_interest!M40</f>
        <v>41.145931107494079</v>
      </c>
      <c r="N18" s="227">
        <f ca="1">debt_interest!N40</f>
        <v>36.481016952963053</v>
      </c>
      <c r="O18" s="227">
        <f ca="1">debt_interest!O40</f>
        <v>30.346829573350512</v>
      </c>
      <c r="P18" s="227">
        <f ca="1">debt_interest!P40</f>
        <v>24.932456866121164</v>
      </c>
      <c r="Q18" s="114"/>
      <c r="R18" s="222"/>
      <c r="U18" s="227">
        <f>debt_interest!U40</f>
        <v>4.342412935323383E-2</v>
      </c>
      <c r="V18" s="227">
        <f>debt_interest!V40</f>
        <v>0</v>
      </c>
      <c r="W18" s="227">
        <f>debt_interest!W40</f>
        <v>0</v>
      </c>
      <c r="X18" s="227">
        <f>debt_interest!X40</f>
        <v>0</v>
      </c>
      <c r="Y18" s="227">
        <f>debt_interest!Y40</f>
        <v>0</v>
      </c>
      <c r="AA18" s="286"/>
      <c r="AB18" s="286"/>
      <c r="AC18" s="579">
        <f>AC16*AC23</f>
        <v>1.2598999999999998</v>
      </c>
      <c r="AD18" s="145" t="s">
        <v>162</v>
      </c>
      <c r="AE18" s="141"/>
      <c r="AF18" s="141"/>
      <c r="AG18" s="141"/>
      <c r="AH18" s="141"/>
      <c r="AI18" s="141"/>
      <c r="AJ18" s="140"/>
    </row>
    <row r="19" spans="1:37" s="28" customFormat="1" ht="12.75">
      <c r="A19" s="642"/>
      <c r="B19" s="63" t="s">
        <v>185</v>
      </c>
      <c r="H19"/>
      <c r="I19" s="62">
        <v>0</v>
      </c>
      <c r="J19" s="62">
        <v>0</v>
      </c>
      <c r="K19" s="210">
        <v>0</v>
      </c>
      <c r="L19" s="227">
        <f ca="1">debt_interest!L44</f>
        <v>-0.28250000000000003</v>
      </c>
      <c r="M19" s="227">
        <f ca="1">debt_interest!M44</f>
        <v>-0.25</v>
      </c>
      <c r="N19" s="227">
        <f ca="1">debt_interest!N44</f>
        <v>-0.35041765694665999</v>
      </c>
      <c r="O19" s="227">
        <f ca="1">debt_interest!O44</f>
        <v>-0.35041765694665999</v>
      </c>
      <c r="P19" s="227">
        <f ca="1">debt_interest!P44</f>
        <v>-0.6451827244549565</v>
      </c>
      <c r="Q19" s="114"/>
      <c r="R19" s="222"/>
      <c r="U19" s="227">
        <f>debt_interest!U44</f>
        <v>0</v>
      </c>
      <c r="V19" s="227">
        <f>debt_interest!V44</f>
        <v>0</v>
      </c>
      <c r="W19" s="227">
        <f>debt_interest!W44</f>
        <v>0</v>
      </c>
      <c r="X19" s="227">
        <f>debt_interest!X44</f>
        <v>0</v>
      </c>
      <c r="Y19" s="227">
        <f>debt_interest!Y44</f>
        <v>0</v>
      </c>
      <c r="AA19" s="286"/>
      <c r="AB19" s="286"/>
      <c r="AC19" s="580"/>
      <c r="AD19" s="141"/>
      <c r="AE19" s="141"/>
      <c r="AF19" s="141"/>
      <c r="AG19" s="141"/>
      <c r="AH19" s="141"/>
      <c r="AI19" s="141"/>
      <c r="AJ19" s="140"/>
    </row>
    <row r="20" spans="1:37" s="28" customFormat="1" ht="12.75">
      <c r="A20" s="642"/>
      <c r="B20" s="63" t="s">
        <v>261</v>
      </c>
      <c r="H20"/>
      <c r="I20" s="62">
        <v>-2.2999999999999998</v>
      </c>
      <c r="J20" s="62">
        <v>-2.4</v>
      </c>
      <c r="K20" s="210">
        <v>-2.2000000000000002</v>
      </c>
      <c r="L20" s="173">
        <f>L36</f>
        <v>-1.1000000000000001</v>
      </c>
      <c r="M20" s="173">
        <f t="shared" ref="M20:P20" si="20">M36</f>
        <v>-1.1000000000000001</v>
      </c>
      <c r="N20" s="173">
        <f t="shared" si="20"/>
        <v>-1.1000000000000001</v>
      </c>
      <c r="O20" s="173">
        <f t="shared" si="20"/>
        <v>-1.1000000000000001</v>
      </c>
      <c r="P20" s="173">
        <f t="shared" si="20"/>
        <v>-1.1000000000000001</v>
      </c>
      <c r="Q20" s="50"/>
      <c r="R20" s="222"/>
      <c r="S20" s="55"/>
      <c r="T20" s="55"/>
      <c r="U20" s="55"/>
      <c r="V20" s="55"/>
      <c r="W20" s="55"/>
      <c r="X20" s="55"/>
      <c r="Y20" s="55"/>
      <c r="AA20" s="286"/>
      <c r="AB20" s="286"/>
      <c r="AC20" s="580"/>
      <c r="AD20" s="141"/>
      <c r="AE20" s="141"/>
      <c r="AF20" s="237"/>
      <c r="AG20" s="145"/>
      <c r="AH20" s="145"/>
      <c r="AI20" s="141"/>
      <c r="AJ20" s="140"/>
      <c r="AK20" s="303"/>
    </row>
    <row r="21" spans="1:37" s="28" customFormat="1" ht="12.75">
      <c r="A21" s="642"/>
      <c r="C21" s="63" t="s">
        <v>105</v>
      </c>
      <c r="H21"/>
      <c r="I21" s="601">
        <f>I16-SUM(I18:I20)</f>
        <v>502.29999999999995</v>
      </c>
      <c r="J21" s="601">
        <f t="shared" ref="J21:P21" si="21">J16-SUM(J18:J20)</f>
        <v>527.79999999999973</v>
      </c>
      <c r="K21" s="632">
        <f t="shared" si="21"/>
        <v>543.99999999999989</v>
      </c>
      <c r="L21" s="601">
        <f t="shared" ca="1" si="21"/>
        <v>575.88273631719665</v>
      </c>
      <c r="M21" s="601">
        <f t="shared" ca="1" si="21"/>
        <v>624.25168604578619</v>
      </c>
      <c r="N21" s="601">
        <f t="shared" ca="1" si="21"/>
        <v>668.54275108361753</v>
      </c>
      <c r="O21" s="601">
        <f t="shared" ca="1" si="21"/>
        <v>718.57455706816336</v>
      </c>
      <c r="P21" s="601">
        <f t="shared" ca="1" si="21"/>
        <v>773.06648893711872</v>
      </c>
      <c r="Q21" s="50"/>
      <c r="R21" s="221">
        <f ca="1">RATE($P$5-$K$5,0,-K21,P21,0)</f>
        <v>7.2811918285179938E-2</v>
      </c>
      <c r="S21" s="53"/>
      <c r="T21" s="53"/>
      <c r="AA21" s="29"/>
      <c r="AB21" s="29"/>
      <c r="AC21" s="580"/>
      <c r="AD21" s="141"/>
      <c r="AE21" s="141"/>
      <c r="AF21" s="418"/>
      <c r="AG21" s="145"/>
      <c r="AH21" s="413"/>
      <c r="AI21" s="141"/>
      <c r="AJ21" s="140"/>
    </row>
    <row r="22" spans="1:37" s="28" customFormat="1" ht="12.75">
      <c r="A22" s="642"/>
      <c r="D22"/>
      <c r="E22"/>
      <c r="F22"/>
      <c r="G22"/>
      <c r="H22"/>
      <c r="I22" s="141"/>
      <c r="J22" s="141"/>
      <c r="K22" s="633"/>
      <c r="L22" s="402"/>
      <c r="M22" s="141"/>
      <c r="N22" s="141"/>
      <c r="O22" s="141"/>
      <c r="P22" s="141"/>
      <c r="Q22" s="50"/>
      <c r="R22" s="603"/>
      <c r="S22" s="53"/>
      <c r="T22" s="53"/>
      <c r="AA22" s="29"/>
      <c r="AB22" s="29"/>
      <c r="AC22" s="424" t="s">
        <v>163</v>
      </c>
      <c r="AD22" s="29"/>
      <c r="AE22" s="141"/>
      <c r="AF22" s="420"/>
      <c r="AG22" s="145"/>
      <c r="AH22" s="413"/>
      <c r="AI22" s="141"/>
      <c r="AJ22" s="140"/>
    </row>
    <row r="23" spans="1:37" s="28" customFormat="1" ht="12.75">
      <c r="A23" s="642"/>
      <c r="B23" s="63" t="s">
        <v>262</v>
      </c>
      <c r="I23" s="62">
        <f>142.6+AI7</f>
        <v>145.7937</v>
      </c>
      <c r="J23" s="62">
        <f>139.8+AF7</f>
        <v>140.29810000000001</v>
      </c>
      <c r="K23" s="210">
        <f>133.6+AC12+AC18</f>
        <v>145.95989999999998</v>
      </c>
      <c r="L23" s="56">
        <f ca="1">L37*L21</f>
        <v>158.3677524872291</v>
      </c>
      <c r="M23" s="56">
        <f t="shared" ref="M23:P23" ca="1" si="22">M37*M21</f>
        <v>171.6692136625912</v>
      </c>
      <c r="N23" s="56">
        <f t="shared" ca="1" si="22"/>
        <v>183.84925654799483</v>
      </c>
      <c r="O23" s="56">
        <f t="shared" ca="1" si="22"/>
        <v>197.60800319374493</v>
      </c>
      <c r="P23" s="56">
        <f t="shared" ca="1" si="22"/>
        <v>212.59328445770765</v>
      </c>
      <c r="Q23" s="50"/>
      <c r="R23" s="603"/>
      <c r="S23" s="53"/>
      <c r="T23" s="53"/>
      <c r="AA23" s="29"/>
      <c r="AB23" s="29"/>
      <c r="AC23" s="581">
        <f>35%+1.2%-6.9%</f>
        <v>0.29299999999999998</v>
      </c>
      <c r="AD23" s="29"/>
      <c r="AE23" s="29"/>
      <c r="AF23" s="445"/>
      <c r="AG23" s="145"/>
      <c r="AH23" s="413"/>
      <c r="AI23" s="141"/>
      <c r="AJ23" s="140"/>
    </row>
    <row r="24" spans="1:37" s="28" customFormat="1" ht="12.75">
      <c r="A24" s="642"/>
      <c r="B24" s="240" t="s">
        <v>208</v>
      </c>
      <c r="I24" s="62">
        <v>-25.4</v>
      </c>
      <c r="J24" s="62">
        <v>-21.5</v>
      </c>
      <c r="K24" s="210">
        <v>-23.2</v>
      </c>
      <c r="L24" s="227">
        <f>-other!L23</f>
        <v>-26.7</v>
      </c>
      <c r="M24" s="227">
        <f>-other!M23</f>
        <v>-28.7</v>
      </c>
      <c r="N24" s="227">
        <f>-other!N23</f>
        <v>-30.7</v>
      </c>
      <c r="O24" s="227">
        <f>-other!O23</f>
        <v>-32.700000000000003</v>
      </c>
      <c r="P24" s="227">
        <f>-other!P23</f>
        <v>-34.700000000000003</v>
      </c>
      <c r="Q24" s="115"/>
      <c r="R24" s="603"/>
      <c r="S24" s="53"/>
      <c r="T24" s="53"/>
      <c r="AA24" s="29"/>
      <c r="AB24" s="29"/>
      <c r="AC24" s="580"/>
      <c r="AD24" s="141"/>
      <c r="AE24" s="141"/>
      <c r="AF24" s="415"/>
      <c r="AG24" s="145"/>
      <c r="AH24" s="413"/>
      <c r="AI24" s="141"/>
      <c r="AJ24" s="140"/>
    </row>
    <row r="25" spans="1:37" s="28" customFormat="1" ht="12.75">
      <c r="A25" s="642" t="s">
        <v>43</v>
      </c>
      <c r="C25" s="30" t="s">
        <v>7</v>
      </c>
      <c r="I25" s="602">
        <f>I21-SUM(I23:I24)</f>
        <v>381.90629999999999</v>
      </c>
      <c r="J25" s="602">
        <f t="shared" ref="J25:K25" si="23">J21-SUM(J23:J24)</f>
        <v>409.00189999999975</v>
      </c>
      <c r="K25" s="634">
        <f t="shared" si="23"/>
        <v>421.24009999999993</v>
      </c>
      <c r="L25" s="602">
        <f t="shared" ref="L25" ca="1" si="24">L21-SUM(L23:L24)</f>
        <v>444.21498382996754</v>
      </c>
      <c r="M25" s="602">
        <f t="shared" ref="M25" ca="1" si="25">M21-SUM(M23:M24)</f>
        <v>481.282472383195</v>
      </c>
      <c r="N25" s="602">
        <f t="shared" ref="N25" ca="1" si="26">N21-SUM(N23:N24)</f>
        <v>515.39349453562272</v>
      </c>
      <c r="O25" s="602">
        <f t="shared" ref="O25" ca="1" si="27">O21-SUM(O23:O24)</f>
        <v>553.66655387441847</v>
      </c>
      <c r="P25" s="602">
        <f t="shared" ref="P25" ca="1" si="28">P21-SUM(P23:P24)</f>
        <v>595.17320447941108</v>
      </c>
      <c r="Q25" s="50"/>
      <c r="R25" s="438">
        <f ca="1">RATE($P$5-$K$5,0,-K25,P25,0)</f>
        <v>7.1575394160724712E-2</v>
      </c>
      <c r="S25" s="53"/>
      <c r="T25" s="53"/>
      <c r="AA25" s="29"/>
      <c r="AB25" s="29"/>
      <c r="AC25" s="580"/>
      <c r="AD25" s="141"/>
      <c r="AE25" s="141"/>
      <c r="AF25" s="141"/>
      <c r="AG25" s="29"/>
      <c r="AH25" s="413"/>
      <c r="AI25" s="29"/>
      <c r="AJ25" s="537"/>
    </row>
    <row r="26" spans="1:37" s="28" customFormat="1" ht="12.75">
      <c r="A26" s="642"/>
      <c r="C26"/>
      <c r="D26"/>
      <c r="E26"/>
      <c r="F26"/>
      <c r="G26"/>
      <c r="H26"/>
      <c r="I26" s="141"/>
      <c r="J26" s="141"/>
      <c r="K26" s="140"/>
      <c r="L26" s="141"/>
      <c r="M26" s="141"/>
      <c r="N26" s="141"/>
      <c r="O26" s="141"/>
      <c r="P26" s="141"/>
      <c r="Q26" s="50"/>
      <c r="R26" s="116"/>
      <c r="S26" s="122"/>
      <c r="T26" s="122"/>
      <c r="AA26" s="29"/>
      <c r="AB26" s="29"/>
      <c r="AC26" s="580"/>
      <c r="AD26" s="141"/>
      <c r="AE26" s="141"/>
      <c r="AF26" s="141"/>
      <c r="AG26" s="419"/>
      <c r="AH26" s="145"/>
      <c r="AI26" s="237"/>
      <c r="AJ26" s="285"/>
      <c r="AK26" s="29"/>
    </row>
    <row r="27" spans="1:37" s="28" customFormat="1" ht="12.75">
      <c r="A27" s="642"/>
      <c r="B27" s="63" t="s">
        <v>101</v>
      </c>
      <c r="I27" s="142">
        <v>134.30000000000001</v>
      </c>
      <c r="J27" s="142">
        <v>134.30000000000001</v>
      </c>
      <c r="K27" s="470">
        <v>133.6</v>
      </c>
      <c r="L27" s="640">
        <f>shares!L15</f>
        <v>132.17500000000001</v>
      </c>
      <c r="M27" s="640">
        <f>shares!M15</f>
        <v>131.32499999999999</v>
      </c>
      <c r="N27" s="640">
        <f>shares!N15</f>
        <v>130.47500000000002</v>
      </c>
      <c r="O27" s="640">
        <f>shares!O15</f>
        <v>129.625</v>
      </c>
      <c r="P27" s="640">
        <f>shares!P15</f>
        <v>128.77500000000003</v>
      </c>
      <c r="Q27" s="50"/>
      <c r="R27" s="221">
        <f>RATE($P$5-$K$5,0,-K27,P27,0)</f>
        <v>-7.3297187533301333E-3</v>
      </c>
      <c r="S27" s="53"/>
      <c r="T27" s="53"/>
      <c r="AA27" s="29"/>
      <c r="AB27" s="29"/>
      <c r="AC27" s="580"/>
      <c r="AD27" s="141"/>
      <c r="AE27" s="141"/>
      <c r="AF27" s="141"/>
      <c r="AG27" s="29"/>
      <c r="AH27" s="29"/>
      <c r="AI27" s="418"/>
      <c r="AJ27" s="285"/>
      <c r="AK27" s="29"/>
    </row>
    <row r="28" spans="1:37" s="28" customFormat="1" ht="12.75">
      <c r="A28" s="642"/>
      <c r="B28"/>
      <c r="C28"/>
      <c r="D28"/>
      <c r="E28"/>
      <c r="F28"/>
      <c r="G28"/>
      <c r="H28"/>
      <c r="I28"/>
      <c r="J28"/>
      <c r="K28" s="140"/>
      <c r="L28" s="141"/>
      <c r="M28"/>
      <c r="N28"/>
      <c r="O28"/>
      <c r="P28"/>
      <c r="Q28" s="115"/>
      <c r="R28" s="603"/>
      <c r="S28" s="122"/>
      <c r="T28" s="122"/>
      <c r="AA28" s="29"/>
      <c r="AB28" s="29"/>
      <c r="AC28" s="580"/>
      <c r="AD28" s="141"/>
      <c r="AE28" s="141"/>
      <c r="AF28" s="141"/>
      <c r="AG28" s="145"/>
      <c r="AH28" s="145"/>
      <c r="AI28" s="420"/>
      <c r="AJ28" s="285"/>
      <c r="AK28" s="29"/>
    </row>
    <row r="29" spans="1:37" s="188" customFormat="1" ht="12.75">
      <c r="A29" s="642" t="s">
        <v>43</v>
      </c>
      <c r="B29" s="30"/>
      <c r="C29" s="30" t="s">
        <v>106</v>
      </c>
      <c r="D29" s="28"/>
      <c r="E29" s="28"/>
      <c r="F29" s="57"/>
      <c r="G29" s="57"/>
      <c r="H29" s="57"/>
      <c r="I29" s="317">
        <f>I25/I27</f>
        <v>2.8436805658972446</v>
      </c>
      <c r="J29" s="317">
        <f t="shared" ref="J29:P29" si="29">J25/J27</f>
        <v>3.0454348473566619</v>
      </c>
      <c r="K29" s="635">
        <f t="shared" si="29"/>
        <v>3.1529947604790416</v>
      </c>
      <c r="L29" s="317">
        <f t="shared" ca="1" si="29"/>
        <v>3.3608094104782862</v>
      </c>
      <c r="M29" s="317">
        <f t="shared" ca="1" si="29"/>
        <v>3.6648198925048168</v>
      </c>
      <c r="N29" s="317">
        <f t="shared" ca="1" si="29"/>
        <v>3.9501321673548393</v>
      </c>
      <c r="O29" s="317">
        <f t="shared" ca="1" si="29"/>
        <v>4.2712945332645589</v>
      </c>
      <c r="P29" s="317">
        <f t="shared" ca="1" si="29"/>
        <v>4.6218070625463863</v>
      </c>
      <c r="Q29" s="189"/>
      <c r="R29" s="438">
        <f ca="1">RATE($P$5-$K$5,0,-K29,P29,0)</f>
        <v>7.9487735663334474E-2</v>
      </c>
      <c r="S29" s="53"/>
      <c r="T29" s="53"/>
      <c r="U29" s="30"/>
      <c r="V29" s="30"/>
      <c r="W29" s="30"/>
      <c r="X29" s="30"/>
      <c r="Y29" s="30"/>
      <c r="AA29" s="431"/>
      <c r="AB29" s="431"/>
      <c r="AC29" s="580"/>
      <c r="AD29" s="141"/>
      <c r="AE29" s="141"/>
      <c r="AF29" s="141"/>
      <c r="AG29" s="145"/>
      <c r="AH29" s="215"/>
      <c r="AI29" s="417"/>
      <c r="AJ29" s="285"/>
      <c r="AK29" s="411"/>
    </row>
    <row r="30" spans="1:37" s="188" customFormat="1" ht="12.75">
      <c r="A30" s="642"/>
      <c r="B30" s="30"/>
      <c r="C30" s="30"/>
      <c r="D30" s="28"/>
      <c r="E30" s="28"/>
      <c r="F30" s="57"/>
      <c r="G30" s="57"/>
      <c r="H30" s="57"/>
      <c r="I30" s="317"/>
      <c r="J30" s="317"/>
      <c r="K30" s="650"/>
      <c r="L30" s="459"/>
      <c r="M30" s="503"/>
      <c r="N30" s="543"/>
      <c r="O30" s="403"/>
      <c r="P30" s="403"/>
      <c r="Q30" s="189"/>
      <c r="R30" s="544"/>
      <c r="S30" s="53"/>
      <c r="T30" s="53"/>
      <c r="U30" s="30"/>
      <c r="V30" s="30"/>
      <c r="W30" s="30"/>
      <c r="X30" s="30"/>
      <c r="Y30" s="30"/>
      <c r="AA30" s="431"/>
      <c r="AB30" s="431"/>
      <c r="AC30" s="580"/>
      <c r="AD30" s="141"/>
      <c r="AE30" s="141"/>
      <c r="AF30" s="141"/>
      <c r="AG30" s="145"/>
      <c r="AH30" s="215"/>
      <c r="AI30" s="415"/>
      <c r="AJ30" s="285"/>
      <c r="AK30" s="411"/>
    </row>
    <row r="31" spans="1:37" s="28" customFormat="1" ht="12.75" outlineLevel="1">
      <c r="A31" s="642"/>
      <c r="I31" s="504"/>
      <c r="J31" s="505"/>
      <c r="K31" s="636"/>
      <c r="L31" s="546" t="s">
        <v>283</v>
      </c>
      <c r="M31" s="503"/>
      <c r="N31" s="543"/>
      <c r="O31" s="403"/>
      <c r="P31" s="403"/>
      <c r="Q31" s="189"/>
      <c r="R31" s="544">
        <v>8.1000000000000003E-2</v>
      </c>
      <c r="U31" s="53"/>
      <c r="AA31" s="29"/>
      <c r="AB31" s="29"/>
      <c r="AC31" s="423"/>
      <c r="AD31" s="29"/>
      <c r="AE31" s="141"/>
      <c r="AF31" s="141"/>
      <c r="AG31" s="29"/>
      <c r="AH31" s="29"/>
      <c r="AI31" s="237"/>
      <c r="AJ31" s="537"/>
      <c r="AK31" s="29"/>
    </row>
    <row r="32" spans="1:37" s="28" customFormat="1" ht="12.75">
      <c r="A32" s="642"/>
      <c r="B32" s="49" t="s">
        <v>247</v>
      </c>
      <c r="I32" s="141"/>
      <c r="J32" s="12"/>
      <c r="K32" s="604"/>
      <c r="M32" s="29"/>
      <c r="N32" s="438"/>
      <c r="O32" s="439"/>
      <c r="P32" s="440"/>
      <c r="Q32" s="131"/>
      <c r="R32" s="58" t="s">
        <v>94</v>
      </c>
      <c r="U32"/>
      <c r="AA32" s="29"/>
      <c r="AB32" s="29"/>
      <c r="AC32" s="423"/>
      <c r="AD32" s="29"/>
      <c r="AE32" s="29"/>
      <c r="AF32" s="141"/>
      <c r="AG32" s="29"/>
      <c r="AH32" s="29"/>
      <c r="AI32" s="418"/>
      <c r="AJ32" s="285"/>
      <c r="AK32" s="29"/>
    </row>
    <row r="33" spans="1:37" s="28" customFormat="1" ht="12.75">
      <c r="A33" s="642"/>
      <c r="C33" s="28" t="s">
        <v>109</v>
      </c>
      <c r="I33" s="441"/>
      <c r="J33" s="221">
        <f>J7/I7-1</f>
        <v>8.5623106880138522E-2</v>
      </c>
      <c r="K33" s="637">
        <f>K7/J7-1</f>
        <v>2.7203427831199223E-2</v>
      </c>
      <c r="L33" s="65">
        <v>0.04</v>
      </c>
      <c r="M33" s="399">
        <f>L33+$R33</f>
        <v>4.3000000000000003E-2</v>
      </c>
      <c r="N33" s="399">
        <f t="shared" ref="N33:P33" si="30">M33+$R33</f>
        <v>4.6000000000000006E-2</v>
      </c>
      <c r="O33" s="399">
        <f t="shared" si="30"/>
        <v>4.9000000000000009E-2</v>
      </c>
      <c r="P33" s="399">
        <f t="shared" si="30"/>
        <v>5.2000000000000011E-2</v>
      </c>
      <c r="Q33" s="603"/>
      <c r="R33" s="575">
        <v>3.0000000000000001E-3</v>
      </c>
      <c r="U33"/>
      <c r="V33" s="139"/>
      <c r="AA33" s="29"/>
      <c r="AB33" s="29"/>
      <c r="AC33" s="582"/>
      <c r="AD33" s="572"/>
      <c r="AE33" s="572"/>
      <c r="AF33" s="572"/>
      <c r="AG33" s="572"/>
      <c r="AH33" s="572"/>
      <c r="AI33" s="572"/>
      <c r="AJ33" s="573"/>
      <c r="AK33" s="29"/>
    </row>
    <row r="34" spans="1:37" s="28" customFormat="1" ht="12.75">
      <c r="A34" s="642"/>
      <c r="C34" s="28" t="s">
        <v>107</v>
      </c>
      <c r="I34" s="67">
        <f t="shared" ref="I34:K34" si="31">I9/I7</f>
        <v>0.43744591086109907</v>
      </c>
      <c r="J34" s="67">
        <f t="shared" si="31"/>
        <v>0.42755717203926058</v>
      </c>
      <c r="K34" s="137">
        <f t="shared" si="31"/>
        <v>0.42843284667992437</v>
      </c>
      <c r="L34" s="65">
        <v>0.433</v>
      </c>
      <c r="M34" s="399">
        <f t="shared" ref="M34:P34" si="32">L34+$R34</f>
        <v>0.435</v>
      </c>
      <c r="N34" s="399">
        <f t="shared" si="32"/>
        <v>0.437</v>
      </c>
      <c r="O34" s="399">
        <f t="shared" si="32"/>
        <v>0.439</v>
      </c>
      <c r="P34" s="399">
        <f t="shared" si="32"/>
        <v>0.441</v>
      </c>
      <c r="Q34" s="603"/>
      <c r="R34" s="575">
        <v>2E-3</v>
      </c>
      <c r="U34"/>
      <c r="V34" s="139"/>
      <c r="AA34" s="29"/>
      <c r="AB34" s="29"/>
      <c r="AC34" s="571"/>
      <c r="AK34" s="29"/>
    </row>
    <row r="35" spans="1:37" s="28" customFormat="1" ht="12.75">
      <c r="A35" s="642"/>
      <c r="C35" s="28" t="s">
        <v>108</v>
      </c>
      <c r="H35" s="59"/>
      <c r="I35" s="433">
        <f t="shared" ref="I35:K35" si="33">I11/I7</f>
        <v>0.26179143228039814</v>
      </c>
      <c r="J35" s="433">
        <f t="shared" si="33"/>
        <v>0.25746101340242139</v>
      </c>
      <c r="K35" s="638">
        <f t="shared" si="33"/>
        <v>0.25840325944608822</v>
      </c>
      <c r="L35" s="65">
        <v>0.26200000000000001</v>
      </c>
      <c r="M35" s="399">
        <f t="shared" ref="M35:P35" si="34">L35+$R35</f>
        <v>0.26100000000000001</v>
      </c>
      <c r="N35" s="399">
        <f t="shared" si="34"/>
        <v>0.26</v>
      </c>
      <c r="O35" s="399">
        <f t="shared" si="34"/>
        <v>0.25900000000000001</v>
      </c>
      <c r="P35" s="399">
        <f t="shared" si="34"/>
        <v>0.25800000000000001</v>
      </c>
      <c r="Q35" s="603"/>
      <c r="R35" s="575">
        <v>-1E-3</v>
      </c>
      <c r="U35"/>
      <c r="V35" s="139"/>
      <c r="AA35" s="29"/>
      <c r="AB35" s="29"/>
      <c r="AE35" s="215"/>
      <c r="AF35" s="29"/>
      <c r="AG35" s="215"/>
      <c r="AH35" s="215"/>
      <c r="AI35" s="417"/>
      <c r="AJ35" s="145"/>
      <c r="AK35" s="29"/>
    </row>
    <row r="36" spans="1:37" s="28" customFormat="1" ht="12.75">
      <c r="A36" s="642"/>
      <c r="C36" s="213" t="s">
        <v>248</v>
      </c>
      <c r="H36" s="59"/>
      <c r="I36" s="517">
        <f>I20</f>
        <v>-2.2999999999999998</v>
      </c>
      <c r="J36" s="517">
        <f>J20</f>
        <v>-2.4</v>
      </c>
      <c r="K36" s="639">
        <f>K20</f>
        <v>-2.2000000000000002</v>
      </c>
      <c r="L36" s="415">
        <f>-0.8-0.3</f>
        <v>-1.1000000000000001</v>
      </c>
      <c r="M36" s="517">
        <f t="shared" ref="M36:P36" si="35">L36+$R36</f>
        <v>-1.1000000000000001</v>
      </c>
      <c r="N36" s="517">
        <f t="shared" si="35"/>
        <v>-1.1000000000000001</v>
      </c>
      <c r="O36" s="517">
        <f t="shared" si="35"/>
        <v>-1.1000000000000001</v>
      </c>
      <c r="P36" s="517">
        <f t="shared" si="35"/>
        <v>-1.1000000000000001</v>
      </c>
      <c r="Q36" s="603"/>
      <c r="R36" s="576">
        <v>0</v>
      </c>
      <c r="S36" s="53"/>
      <c r="T36" s="53"/>
      <c r="AD36" s="29"/>
      <c r="AE36" s="141"/>
      <c r="AF36" s="141"/>
      <c r="AG36" s="215"/>
      <c r="AH36" s="215"/>
      <c r="AI36" s="420"/>
      <c r="AJ36" s="145"/>
    </row>
    <row r="37" spans="1:37" s="28" customFormat="1" ht="12.75">
      <c r="A37" s="642"/>
      <c r="C37" s="28" t="s">
        <v>110</v>
      </c>
      <c r="I37" s="221">
        <f t="shared" ref="I37:K37" si="36">I23/I21</f>
        <v>0.290252239697392</v>
      </c>
      <c r="J37" s="221">
        <f t="shared" si="36"/>
        <v>0.2658167866616144</v>
      </c>
      <c r="K37" s="220">
        <f t="shared" si="36"/>
        <v>0.26830863970588237</v>
      </c>
      <c r="L37" s="553">
        <v>0.27500000000000002</v>
      </c>
      <c r="M37" s="529">
        <f t="shared" ref="M37:P37" si="37">L37+$R37</f>
        <v>0.27500000000000002</v>
      </c>
      <c r="N37" s="529">
        <f t="shared" si="37"/>
        <v>0.27500000000000002</v>
      </c>
      <c r="O37" s="529">
        <f t="shared" si="37"/>
        <v>0.27500000000000002</v>
      </c>
      <c r="P37" s="529">
        <f t="shared" si="37"/>
        <v>0.27500000000000002</v>
      </c>
      <c r="Q37" s="603"/>
      <c r="R37" s="577">
        <v>0</v>
      </c>
      <c r="S37" s="50"/>
      <c r="T37" s="552"/>
      <c r="AD37" s="145"/>
      <c r="AE37" s="141"/>
      <c r="AF37" s="141"/>
      <c r="AG37" s="215"/>
      <c r="AH37" s="215"/>
      <c r="AI37" s="420"/>
      <c r="AJ37" s="145"/>
    </row>
    <row r="38" spans="1:37" s="28" customFormat="1" ht="12.75">
      <c r="A38" s="642" t="s">
        <v>43</v>
      </c>
      <c r="B38" s="548">
        <v>1</v>
      </c>
      <c r="C38" s="549" t="s">
        <v>264</v>
      </c>
      <c r="D38" s="550"/>
      <c r="E38" s="550"/>
      <c r="F38" s="550"/>
      <c r="G38" s="550"/>
      <c r="H38" s="550"/>
      <c r="I38" s="550"/>
      <c r="J38" s="550"/>
      <c r="K38" s="550"/>
      <c r="L38" s="550"/>
      <c r="M38" s="550"/>
      <c r="N38" s="550"/>
      <c r="O38" s="550"/>
      <c r="P38" s="550"/>
      <c r="Q38" s="550"/>
      <c r="R38" s="427"/>
      <c r="S38" s="551"/>
      <c r="T38" s="552"/>
      <c r="U38" s="124"/>
      <c r="V38" s="124"/>
      <c r="W38" s="29"/>
      <c r="AC38"/>
      <c r="AD38" s="141"/>
      <c r="AE38" s="29"/>
      <c r="AF38" s="29"/>
      <c r="AG38" s="29"/>
      <c r="AH38" s="29"/>
      <c r="AI38" s="29"/>
      <c r="AJ38" s="29"/>
    </row>
    <row r="39" spans="1:37" s="29" customFormat="1" ht="12.75">
      <c r="A39" s="642"/>
      <c r="B39" s="85">
        <f>B38+1</f>
        <v>2</v>
      </c>
      <c r="C39" s="332" t="s">
        <v>260</v>
      </c>
      <c r="D39" s="124"/>
      <c r="E39" s="28"/>
      <c r="F39" s="28"/>
      <c r="G39" s="28"/>
      <c r="H39" s="28"/>
      <c r="I39" s="67"/>
      <c r="J39" s="67"/>
      <c r="K39" s="67"/>
      <c r="L39" s="65"/>
      <c r="M39" s="67"/>
      <c r="N39" s="67"/>
      <c r="O39" s="67"/>
      <c r="P39" s="67"/>
      <c r="Q39" s="50"/>
      <c r="R39" s="50"/>
      <c r="S39" s="53"/>
      <c r="T39" s="53"/>
      <c r="U39" s="28"/>
      <c r="V39" s="28"/>
      <c r="W39" s="28"/>
      <c r="AE39" s="214"/>
      <c r="AF39" s="214"/>
      <c r="AG39" s="214"/>
      <c r="AH39" s="214"/>
    </row>
    <row r="40" spans="1:37" s="28" customFormat="1" ht="12.75">
      <c r="A40" s="642"/>
      <c r="B40" s="85">
        <f>B39+1</f>
        <v>3</v>
      </c>
      <c r="C40" s="332" t="s">
        <v>265</v>
      </c>
      <c r="I40" s="67"/>
      <c r="J40" s="67"/>
      <c r="K40" s="67"/>
      <c r="L40" s="65"/>
      <c r="M40" s="67"/>
      <c r="N40" s="67"/>
      <c r="O40" s="67"/>
      <c r="P40" s="67"/>
      <c r="Q40" s="50"/>
      <c r="R40" s="50"/>
      <c r="S40" s="53"/>
      <c r="T40" s="53"/>
      <c r="AE40" s="214"/>
      <c r="AF40" s="214"/>
      <c r="AG40" s="213"/>
      <c r="AH40" s="213"/>
    </row>
    <row r="41" spans="1:37" s="28" customFormat="1" ht="12.75">
      <c r="A41" s="642"/>
      <c r="B41" s="85"/>
      <c r="C41" s="332" t="s">
        <v>263</v>
      </c>
      <c r="I41" s="29"/>
      <c r="J41" s="29"/>
      <c r="K41" s="29"/>
      <c r="L41" s="29"/>
      <c r="M41" s="29"/>
      <c r="N41" s="29"/>
      <c r="O41" s="29"/>
      <c r="P41" s="29"/>
      <c r="T41" s="53"/>
      <c r="AE41" s="214"/>
      <c r="AF41" s="29"/>
      <c r="AH41" s="213"/>
    </row>
    <row r="42" spans="1:37" s="28" customFormat="1" ht="12.75">
      <c r="A42" s="642"/>
      <c r="B42" s="85"/>
      <c r="C42" s="332"/>
      <c r="I42" s="29"/>
      <c r="J42" s="29"/>
      <c r="K42" s="29"/>
      <c r="L42" s="568"/>
      <c r="M42" s="29"/>
      <c r="N42" s="29"/>
      <c r="O42" s="29"/>
      <c r="P42" s="29"/>
      <c r="T42" s="53"/>
      <c r="AE42" s="214"/>
      <c r="AF42" s="29"/>
      <c r="AH42" s="213"/>
    </row>
    <row r="43" spans="1:37" s="28" customFormat="1" ht="12.75">
      <c r="A43" s="642"/>
      <c r="B43" s="85"/>
      <c r="I43" s="67"/>
      <c r="J43" s="67"/>
      <c r="K43" s="67"/>
      <c r="L43" s="65"/>
      <c r="M43" s="67"/>
      <c r="N43" s="29"/>
      <c r="O43" s="29"/>
      <c r="P43" s="29"/>
      <c r="S43" s="53"/>
      <c r="T43" s="53"/>
      <c r="AE43" s="141"/>
      <c r="AF43" s="29"/>
      <c r="AH43"/>
      <c r="AI43"/>
      <c r="AJ43"/>
    </row>
    <row r="44" spans="1:37" s="28" customFormat="1" ht="12.75">
      <c r="A44" s="642"/>
      <c r="B44" s="85"/>
      <c r="C44" s="332"/>
      <c r="F44" s="29"/>
      <c r="G44" s="29"/>
      <c r="H44" s="29"/>
      <c r="I44" s="67"/>
      <c r="J44" s="67"/>
      <c r="K44" s="67"/>
      <c r="L44" s="29"/>
      <c r="M44" s="29"/>
      <c r="N44" s="29"/>
      <c r="O44" s="29"/>
      <c r="P44" s="29"/>
      <c r="S44" s="53"/>
      <c r="T44" s="53"/>
      <c r="AE44" s="214"/>
      <c r="AF44" s="29"/>
      <c r="AH44" s="213"/>
      <c r="AI44"/>
      <c r="AJ44" s="213"/>
    </row>
    <row r="45" spans="1:37" ht="12.75">
      <c r="I45" s="141"/>
      <c r="J45" s="141"/>
      <c r="K45" s="141"/>
      <c r="L45" s="141"/>
      <c r="M45" s="141"/>
      <c r="N45" s="141"/>
      <c r="O45" s="141"/>
      <c r="P45" s="141"/>
      <c r="S45" s="41"/>
      <c r="T45" s="41"/>
      <c r="W45" s="28"/>
      <c r="X45" s="28"/>
      <c r="Y45" s="28"/>
      <c r="AA45" s="28"/>
      <c r="AB45" s="28"/>
      <c r="AE45" s="214"/>
      <c r="AF45" s="141"/>
      <c r="AH45" s="213"/>
      <c r="AI45" s="213"/>
      <c r="AJ45" s="213"/>
    </row>
    <row r="46" spans="1:37" ht="12.75">
      <c r="I46" s="141"/>
      <c r="J46" s="141"/>
      <c r="K46" s="141"/>
      <c r="L46" s="141"/>
      <c r="M46" s="141"/>
      <c r="N46" s="141"/>
      <c r="O46" s="141"/>
      <c r="P46" s="141"/>
      <c r="S46" s="41"/>
      <c r="T46" s="41"/>
      <c r="W46" s="28"/>
      <c r="X46" s="28"/>
      <c r="Y46" s="28"/>
      <c r="AA46" s="28"/>
      <c r="AB46" s="28"/>
      <c r="AE46" s="214"/>
      <c r="AF46" s="141"/>
      <c r="AH46" s="213"/>
      <c r="AI46" s="213"/>
      <c r="AJ46" s="213"/>
    </row>
    <row r="47" spans="1:37" ht="12.75">
      <c r="I47" s="141"/>
      <c r="J47" s="141"/>
      <c r="K47" s="141"/>
      <c r="L47" s="141"/>
      <c r="M47" s="141"/>
      <c r="N47" s="141"/>
      <c r="O47" s="141"/>
      <c r="P47" s="141"/>
      <c r="S47" s="41"/>
      <c r="T47" s="41"/>
      <c r="W47" s="28"/>
      <c r="X47" s="28"/>
      <c r="Y47" s="28"/>
      <c r="AA47" s="28"/>
      <c r="AB47" s="28"/>
      <c r="AE47" s="214"/>
      <c r="AF47" s="141"/>
      <c r="AH47" s="213"/>
      <c r="AI47" s="213"/>
      <c r="AJ47" s="213"/>
    </row>
    <row r="48" spans="1:37" ht="12.75">
      <c r="C48" s="28"/>
      <c r="D48" s="28"/>
      <c r="E48" s="28"/>
      <c r="F48" s="28"/>
      <c r="G48" s="28"/>
      <c r="H48" s="28"/>
      <c r="I48" s="29"/>
      <c r="J48" s="29"/>
      <c r="K48" s="29"/>
      <c r="L48" s="29"/>
      <c r="M48" s="29"/>
      <c r="N48" s="29"/>
      <c r="O48" s="29"/>
      <c r="P48" s="29"/>
      <c r="Q48" s="28"/>
      <c r="R48" s="28"/>
      <c r="S48" s="28"/>
      <c r="T48" s="41"/>
      <c r="W48" s="28"/>
      <c r="X48" s="28"/>
      <c r="Y48" s="28"/>
      <c r="AA48" s="28"/>
      <c r="AB48" s="28"/>
      <c r="AE48" s="214"/>
      <c r="AF48" s="141"/>
      <c r="AH48" s="213"/>
      <c r="AI48" s="213"/>
      <c r="AJ48" s="213"/>
    </row>
    <row r="49" spans="1:36" ht="12.75">
      <c r="A49" s="642" t="s">
        <v>43</v>
      </c>
      <c r="E49" s="118" t="s">
        <v>80</v>
      </c>
      <c r="S49" s="53"/>
      <c r="T49" s="53"/>
      <c r="U49" s="28"/>
      <c r="V49" s="28"/>
      <c r="W49" s="28"/>
      <c r="X49" s="28"/>
      <c r="Y49" s="28"/>
      <c r="AA49" s="28"/>
      <c r="AB49" s="28"/>
      <c r="AE49" s="214"/>
      <c r="AF49" s="141"/>
      <c r="AH49" s="213"/>
      <c r="AI49" s="213"/>
      <c r="AJ49" s="213"/>
    </row>
    <row r="50" spans="1:36" s="28" customFormat="1" ht="15.75">
      <c r="A50" s="642"/>
      <c r="E50" s="87" t="str">
        <f>L5&amp;" EPS Sensitivity Tables"</f>
        <v>2014 EPS Sensitivity Tables</v>
      </c>
      <c r="H50"/>
      <c r="I50"/>
      <c r="J50"/>
      <c r="K50"/>
      <c r="L50"/>
      <c r="M50"/>
      <c r="N50"/>
      <c r="O50"/>
      <c r="P50"/>
      <c r="Q50"/>
      <c r="R50"/>
      <c r="S50" s="53"/>
      <c r="T50" s="53"/>
      <c r="AE50" s="214"/>
      <c r="AF50" s="29"/>
      <c r="AH50" s="213"/>
      <c r="AI50" s="213"/>
      <c r="AJ50" s="213"/>
    </row>
    <row r="51" spans="1:36" s="28" customFormat="1" ht="12.75">
      <c r="A51" s="642"/>
      <c r="F51" s="88"/>
      <c r="H51"/>
      <c r="I51"/>
      <c r="J51"/>
      <c r="K51"/>
      <c r="L51"/>
      <c r="M51"/>
      <c r="N51"/>
      <c r="O51"/>
      <c r="P51"/>
      <c r="Q51"/>
      <c r="R51"/>
      <c r="S51" s="53"/>
      <c r="T51" s="53"/>
      <c r="AC51" s="213"/>
      <c r="AD51" s="213"/>
      <c r="AE51" s="214"/>
      <c r="AF51" s="214"/>
      <c r="AG51" s="213"/>
      <c r="AH51" s="213"/>
      <c r="AI51" s="213"/>
      <c r="AJ51" s="213"/>
    </row>
    <row r="52" spans="1:36" s="28" customFormat="1" ht="12.75">
      <c r="A52" s="642"/>
      <c r="F52" s="518">
        <v>0</v>
      </c>
      <c r="G52"/>
      <c r="H52"/>
      <c r="I52"/>
      <c r="J52"/>
      <c r="K52"/>
      <c r="L52"/>
      <c r="M52"/>
      <c r="N52"/>
      <c r="O52"/>
      <c r="P52"/>
      <c r="Q52"/>
      <c r="R52"/>
      <c r="S52" s="53"/>
      <c r="T52" s="53"/>
      <c r="AC52" s="213"/>
      <c r="AD52" s="213"/>
      <c r="AE52" s="214"/>
      <c r="AF52" s="214"/>
      <c r="AG52" s="213"/>
      <c r="AH52" s="213"/>
      <c r="AI52" s="213"/>
      <c r="AJ52" s="213"/>
    </row>
    <row r="53" spans="1:36" s="28" customFormat="1" ht="12.75">
      <c r="A53" s="642"/>
      <c r="E53" s="65">
        <v>0.41799999999999998</v>
      </c>
      <c r="F53" s="319"/>
      <c r="G53" s="89"/>
      <c r="H53"/>
      <c r="I53"/>
      <c r="J53"/>
      <c r="K53"/>
      <c r="L53" s="89"/>
      <c r="M53" s="89"/>
      <c r="S53" s="53"/>
      <c r="T53" s="53"/>
      <c r="AC53" s="213"/>
      <c r="AD53" s="213"/>
      <c r="AE53" s="214"/>
      <c r="AF53" s="214"/>
      <c r="AG53" s="213"/>
      <c r="AH53" s="213"/>
      <c r="AI53" s="213"/>
      <c r="AJ53" s="213"/>
    </row>
    <row r="54" spans="1:36" s="28" customFormat="1" ht="12.75">
      <c r="A54" s="642"/>
      <c r="E54" s="67">
        <f t="shared" ref="E54:E61" si="38">E53+E$63</f>
        <v>0.42299999999999999</v>
      </c>
      <c r="F54" s="320"/>
      <c r="G54" s="89"/>
      <c r="H54" s="89"/>
      <c r="I54" s="89"/>
      <c r="J54" s="89"/>
      <c r="K54" s="89"/>
      <c r="L54" s="89"/>
      <c r="M54" s="89"/>
      <c r="S54" s="53"/>
      <c r="T54" s="53"/>
      <c r="AC54" s="213"/>
      <c r="AD54" s="213"/>
      <c r="AE54" s="214"/>
      <c r="AF54" s="214"/>
      <c r="AG54" s="213"/>
      <c r="AH54" s="213"/>
      <c r="AI54" s="213"/>
      <c r="AJ54" s="213"/>
    </row>
    <row r="55" spans="1:36" s="28" customFormat="1" ht="12.75">
      <c r="A55" s="642"/>
      <c r="D55" s="120">
        <f>L5</f>
        <v>2014</v>
      </c>
      <c r="E55" s="67">
        <f t="shared" si="38"/>
        <v>0.42799999999999999</v>
      </c>
      <c r="F55" s="320"/>
      <c r="G55" s="89"/>
      <c r="H55" s="89"/>
      <c r="I55" s="89"/>
      <c r="J55" s="89"/>
      <c r="K55" s="89"/>
      <c r="L55" s="89"/>
      <c r="M55" s="89"/>
      <c r="S55" s="53"/>
      <c r="T55" s="53"/>
      <c r="AC55" s="213"/>
      <c r="AD55" s="213"/>
      <c r="AE55" s="214"/>
      <c r="AF55" s="214"/>
      <c r="AG55" s="213"/>
      <c r="AH55" s="213"/>
      <c r="AI55" s="213"/>
      <c r="AJ55" s="213"/>
    </row>
    <row r="56" spans="1:36" s="28" customFormat="1" ht="12.75">
      <c r="A56" s="642"/>
      <c r="D56" s="90" t="s">
        <v>87</v>
      </c>
      <c r="E56" s="67">
        <f t="shared" si="38"/>
        <v>0.433</v>
      </c>
      <c r="F56" s="320"/>
      <c r="G56" s="89"/>
      <c r="H56" s="89"/>
      <c r="I56" s="89"/>
      <c r="J56" s="89"/>
      <c r="K56" s="89"/>
      <c r="L56" s="89"/>
      <c r="M56" s="89"/>
      <c r="S56" s="53"/>
      <c r="T56" s="53"/>
      <c r="AC56" s="213"/>
      <c r="AD56" s="213"/>
      <c r="AE56" s="214"/>
      <c r="AF56" s="214"/>
      <c r="AG56" s="213"/>
      <c r="AH56" s="213"/>
      <c r="AI56" s="213"/>
      <c r="AJ56" s="213"/>
    </row>
    <row r="57" spans="1:36" s="28" customFormat="1" ht="12.75">
      <c r="A57" s="642"/>
      <c r="E57" s="67">
        <f t="shared" si="38"/>
        <v>0.438</v>
      </c>
      <c r="F57" s="320"/>
      <c r="G57" s="89"/>
      <c r="H57" s="89"/>
      <c r="I57" s="89"/>
      <c r="J57" s="89"/>
      <c r="K57" s="89"/>
      <c r="L57" s="89"/>
      <c r="M57" s="89"/>
      <c r="S57" s="53"/>
      <c r="T57" s="53"/>
      <c r="AC57" s="213"/>
      <c r="AD57" s="213"/>
      <c r="AE57" s="214"/>
      <c r="AF57" s="214"/>
      <c r="AG57" s="213"/>
      <c r="AH57" s="213"/>
      <c r="AI57" s="213"/>
      <c r="AJ57" s="213"/>
    </row>
    <row r="58" spans="1:36" s="28" customFormat="1" ht="12.75">
      <c r="A58" s="642"/>
      <c r="D58" s="60"/>
      <c r="E58" s="67">
        <f t="shared" si="38"/>
        <v>0.443</v>
      </c>
      <c r="F58" s="320"/>
      <c r="G58" s="89"/>
      <c r="H58" s="89"/>
      <c r="I58" s="89"/>
      <c r="J58" s="89"/>
      <c r="K58" s="89"/>
      <c r="L58" s="89"/>
      <c r="M58" s="89"/>
      <c r="S58" s="53"/>
      <c r="T58" s="53"/>
      <c r="AC58" s="213"/>
      <c r="AD58" s="213"/>
      <c r="AE58" s="214"/>
      <c r="AF58" s="214"/>
      <c r="AG58" s="213"/>
      <c r="AH58" s="213"/>
      <c r="AI58" s="213"/>
      <c r="AJ58" s="213"/>
    </row>
    <row r="59" spans="1:36" s="28" customFormat="1" ht="12.75">
      <c r="A59" s="642"/>
      <c r="E59" s="67">
        <f t="shared" si="38"/>
        <v>0.44800000000000001</v>
      </c>
      <c r="F59" s="320"/>
      <c r="G59" s="89"/>
      <c r="H59" s="89"/>
      <c r="I59" s="89"/>
      <c r="J59" s="89"/>
      <c r="K59" s="89"/>
      <c r="L59" s="89"/>
      <c r="M59" s="89"/>
      <c r="S59" s="53"/>
      <c r="T59" s="53"/>
      <c r="AC59" s="213"/>
      <c r="AD59" s="213"/>
      <c r="AE59" s="214"/>
      <c r="AF59" s="214"/>
      <c r="AG59" s="213"/>
      <c r="AH59" s="213"/>
      <c r="AI59" s="213"/>
      <c r="AJ59" s="213"/>
    </row>
    <row r="60" spans="1:36" s="28" customFormat="1" ht="12.75">
      <c r="A60" s="642"/>
      <c r="E60" s="67">
        <f t="shared" si="38"/>
        <v>0.45300000000000001</v>
      </c>
      <c r="F60" s="320"/>
      <c r="G60" s="89"/>
      <c r="H60" s="89"/>
      <c r="I60" s="89"/>
      <c r="J60" s="89"/>
      <c r="K60" s="89"/>
      <c r="L60" s="89"/>
      <c r="M60" s="89"/>
      <c r="S60" s="53"/>
      <c r="T60" s="53"/>
      <c r="AC60" s="213"/>
      <c r="AD60" s="213"/>
      <c r="AE60" s="214"/>
      <c r="AF60" s="214"/>
      <c r="AG60" s="213"/>
      <c r="AH60" s="213"/>
      <c r="AI60" s="213"/>
      <c r="AJ60" s="213"/>
    </row>
    <row r="61" spans="1:36" s="28" customFormat="1" ht="12.75">
      <c r="A61" s="642"/>
      <c r="E61" s="67">
        <f t="shared" si="38"/>
        <v>0.45800000000000002</v>
      </c>
      <c r="F61" s="321"/>
      <c r="G61" s="89"/>
      <c r="H61" s="89"/>
      <c r="I61" s="89"/>
      <c r="J61" s="89"/>
      <c r="K61" s="89"/>
      <c r="S61" s="53"/>
      <c r="T61" s="53"/>
      <c r="AC61" s="213"/>
      <c r="AD61" s="213"/>
      <c r="AE61" s="214"/>
      <c r="AF61" s="214"/>
      <c r="AG61" s="213"/>
      <c r="AH61" s="213"/>
      <c r="AI61" s="213"/>
      <c r="AJ61" s="213"/>
    </row>
    <row r="62" spans="1:36" s="28" customFormat="1" ht="12.75">
      <c r="A62" s="642"/>
      <c r="E62" s="91"/>
      <c r="F62" s="29"/>
      <c r="S62" s="53"/>
      <c r="T62" s="53"/>
      <c r="AC62" s="213"/>
      <c r="AD62" s="213"/>
      <c r="AE62" s="214"/>
      <c r="AF62" s="214"/>
      <c r="AG62" s="213"/>
      <c r="AH62" s="213"/>
      <c r="AI62" s="213"/>
      <c r="AJ62" s="213"/>
    </row>
    <row r="63" spans="1:36" s="28" customFormat="1" ht="12.75">
      <c r="A63" s="642"/>
      <c r="E63" s="65">
        <v>5.0000000000000001E-3</v>
      </c>
      <c r="F63" s="58" t="s">
        <v>94</v>
      </c>
      <c r="H63"/>
      <c r="I63"/>
      <c r="J63"/>
      <c r="S63" s="53"/>
      <c r="T63" s="53"/>
      <c r="AC63" s="213"/>
      <c r="AD63" s="213"/>
      <c r="AE63" s="214"/>
      <c r="AF63" s="214"/>
      <c r="AG63" s="213"/>
      <c r="AH63" s="213"/>
      <c r="AI63" s="213"/>
      <c r="AJ63" s="213"/>
    </row>
    <row r="64" spans="1:36" s="28" customFormat="1" ht="12.75">
      <c r="A64" s="642"/>
      <c r="S64" s="53"/>
      <c r="T64" s="53"/>
      <c r="AC64" s="213"/>
      <c r="AD64" s="213"/>
      <c r="AE64" s="214"/>
      <c r="AF64" s="214"/>
      <c r="AG64" s="213"/>
      <c r="AH64" s="213"/>
      <c r="AI64" s="213"/>
      <c r="AJ64" s="213"/>
    </row>
    <row r="65" spans="1:36" s="28" customFormat="1" ht="12.75">
      <c r="A65" s="642" t="s">
        <v>43</v>
      </c>
      <c r="E65" s="117" t="s">
        <v>81</v>
      </c>
      <c r="S65" s="53"/>
      <c r="T65" s="53"/>
      <c r="AC65" s="213"/>
      <c r="AD65" s="213"/>
      <c r="AE65" s="214"/>
      <c r="AF65" s="214"/>
      <c r="AG65" s="213"/>
      <c r="AH65" s="213"/>
      <c r="AI65" s="213"/>
      <c r="AJ65" s="213"/>
    </row>
    <row r="66" spans="1:36" s="28" customFormat="1" ht="15.75">
      <c r="A66" s="642"/>
      <c r="E66" s="87" t="str">
        <f>R3&amp; " EPS CAGR Sensitivity Table"</f>
        <v>2013 - 2018 EPS CAGR Sensitivity Table</v>
      </c>
      <c r="S66" s="53"/>
      <c r="T66" s="53"/>
      <c r="AC66" s="213"/>
      <c r="AD66" s="213"/>
      <c r="AE66" s="214"/>
      <c r="AF66" s="214"/>
      <c r="AG66" s="213"/>
      <c r="AH66" s="213"/>
      <c r="AI66" s="213"/>
      <c r="AJ66" s="213"/>
    </row>
    <row r="67" spans="1:36" s="28" customFormat="1" ht="12.75">
      <c r="A67" s="642"/>
      <c r="F67" s="88"/>
      <c r="L67" s="94"/>
      <c r="M67" s="94"/>
      <c r="S67" s="53"/>
      <c r="T67" s="53"/>
      <c r="AC67" s="213"/>
      <c r="AD67" s="213"/>
      <c r="AE67" s="214"/>
      <c r="AF67" s="214"/>
      <c r="AG67" s="213"/>
      <c r="AH67" s="213"/>
      <c r="AI67" s="213"/>
      <c r="AJ67" s="213"/>
    </row>
    <row r="68" spans="1:36" s="28" customFormat="1" ht="12.75">
      <c r="A68" s="642"/>
      <c r="E68" s="88"/>
      <c r="F68" s="93" t="str">
        <f>L5&amp;" Sales Growth Rate"</f>
        <v>2014 Sales Growth Rate</v>
      </c>
      <c r="G68" s="94"/>
      <c r="H68" s="94"/>
      <c r="I68" s="94"/>
      <c r="J68" s="94"/>
      <c r="K68" s="94"/>
      <c r="L68" s="67"/>
      <c r="M68" s="67"/>
      <c r="N68" s="29"/>
      <c r="O68" s="58" t="s">
        <v>94</v>
      </c>
      <c r="S68" s="53"/>
      <c r="T68" s="53"/>
      <c r="AC68" s="213"/>
      <c r="AD68" s="213"/>
      <c r="AE68" s="214"/>
      <c r="AF68" s="214"/>
      <c r="AG68" s="213"/>
      <c r="AH68" s="213"/>
      <c r="AI68" s="213"/>
      <c r="AJ68" s="213"/>
    </row>
    <row r="69" spans="1:36" s="28" customFormat="1" ht="12.75">
      <c r="A69" s="642"/>
      <c r="E69" s="519">
        <v>0</v>
      </c>
      <c r="F69" s="184">
        <v>0.03</v>
      </c>
      <c r="G69" s="185">
        <f t="shared" ref="G69:M69" si="39">F69+$O69</f>
        <v>3.4999999999999996E-2</v>
      </c>
      <c r="H69" s="185">
        <f t="shared" si="39"/>
        <v>3.9999999999999994E-2</v>
      </c>
      <c r="I69" s="185">
        <f t="shared" si="39"/>
        <v>4.4999999999999991E-2</v>
      </c>
      <c r="J69" s="185">
        <f t="shared" si="39"/>
        <v>4.9999999999999989E-2</v>
      </c>
      <c r="K69" s="185">
        <f t="shared" si="39"/>
        <v>5.4999999999999986E-2</v>
      </c>
      <c r="L69" s="322">
        <f t="shared" si="39"/>
        <v>5.9999999999999984E-2</v>
      </c>
      <c r="M69" s="322">
        <f t="shared" si="39"/>
        <v>6.4999999999999988E-2</v>
      </c>
      <c r="N69" s="322"/>
      <c r="O69" s="65">
        <v>5.0000000000000001E-3</v>
      </c>
      <c r="S69" s="53"/>
      <c r="T69" s="53"/>
      <c r="AC69" s="213"/>
      <c r="AD69" s="213"/>
      <c r="AE69" s="214"/>
      <c r="AF69" s="214"/>
      <c r="AG69" s="213"/>
      <c r="AH69" s="213"/>
      <c r="AI69" s="213"/>
      <c r="AJ69" s="213"/>
    </row>
    <row r="70" spans="1:36" s="28" customFormat="1" ht="12.75">
      <c r="A70" s="642"/>
      <c r="E70" s="406">
        <f>E53</f>
        <v>0.41799999999999998</v>
      </c>
      <c r="F70" s="323"/>
      <c r="G70" s="324"/>
      <c r="H70" s="324"/>
      <c r="I70" s="324"/>
      <c r="J70" s="324"/>
      <c r="K70" s="324"/>
      <c r="L70" s="324"/>
      <c r="M70" s="325"/>
      <c r="S70" s="53"/>
      <c r="T70" s="53"/>
      <c r="AC70" s="213"/>
      <c r="AD70" s="213"/>
      <c r="AE70" s="214"/>
      <c r="AF70" s="214"/>
      <c r="AG70" s="213"/>
      <c r="AH70" s="213"/>
      <c r="AI70" s="213"/>
      <c r="AJ70" s="213"/>
    </row>
    <row r="71" spans="1:36" s="28" customFormat="1" ht="12.75">
      <c r="A71" s="642"/>
      <c r="D71" s="90"/>
      <c r="E71" s="137">
        <f t="shared" ref="E71:E78" si="40">E70+E$80</f>
        <v>0.42299999999999999</v>
      </c>
      <c r="F71" s="326"/>
      <c r="G71" s="327"/>
      <c r="H71" s="327"/>
      <c r="I71" s="327"/>
      <c r="J71" s="327"/>
      <c r="K71" s="327"/>
      <c r="L71" s="327"/>
      <c r="M71" s="328"/>
      <c r="S71" s="53"/>
      <c r="T71" s="53"/>
      <c r="AC71" s="213"/>
      <c r="AD71" s="213"/>
      <c r="AE71" s="214"/>
      <c r="AF71" s="214"/>
      <c r="AG71" s="213"/>
      <c r="AH71" s="213"/>
      <c r="AI71" s="213"/>
      <c r="AJ71" s="213"/>
    </row>
    <row r="72" spans="1:36" s="28" customFormat="1" ht="12.75">
      <c r="A72" s="642"/>
      <c r="D72" s="120">
        <f>L5</f>
        <v>2014</v>
      </c>
      <c r="E72" s="137">
        <f t="shared" si="40"/>
        <v>0.42799999999999999</v>
      </c>
      <c r="F72" s="326"/>
      <c r="G72" s="327"/>
      <c r="H72" s="327"/>
      <c r="I72" s="327"/>
      <c r="J72" s="327"/>
      <c r="K72" s="327"/>
      <c r="L72" s="327"/>
      <c r="M72" s="328"/>
      <c r="S72" s="53"/>
      <c r="T72" s="53"/>
      <c r="AC72"/>
      <c r="AD72"/>
      <c r="AE72" s="214"/>
      <c r="AF72" s="141"/>
      <c r="AG72"/>
      <c r="AH72" s="213"/>
      <c r="AI72" s="213"/>
      <c r="AJ72" s="213"/>
    </row>
    <row r="73" spans="1:36" s="28" customFormat="1" ht="12.75">
      <c r="A73" s="642"/>
      <c r="D73" s="90" t="s">
        <v>87</v>
      </c>
      <c r="E73" s="137">
        <f t="shared" si="40"/>
        <v>0.433</v>
      </c>
      <c r="F73" s="326"/>
      <c r="G73" s="327"/>
      <c r="H73" s="327"/>
      <c r="I73" s="327"/>
      <c r="J73" s="327"/>
      <c r="K73" s="327"/>
      <c r="L73" s="327"/>
      <c r="M73" s="328"/>
      <c r="S73" s="53"/>
      <c r="T73" s="53"/>
      <c r="AC73"/>
      <c r="AD73"/>
      <c r="AE73" s="141"/>
      <c r="AF73" s="141"/>
      <c r="AG73"/>
      <c r="AH73"/>
      <c r="AI73" s="213"/>
      <c r="AJ73"/>
    </row>
    <row r="74" spans="1:36" s="28" customFormat="1" ht="12.75">
      <c r="A74" s="642"/>
      <c r="D74" s="92"/>
      <c r="E74" s="137">
        <f t="shared" si="40"/>
        <v>0.438</v>
      </c>
      <c r="F74" s="326"/>
      <c r="G74" s="327"/>
      <c r="H74" s="327"/>
      <c r="I74" s="327"/>
      <c r="J74" s="327"/>
      <c r="K74" s="327"/>
      <c r="L74" s="327"/>
      <c r="M74" s="328"/>
      <c r="S74" s="53"/>
      <c r="T74" s="53"/>
      <c r="AC74"/>
      <c r="AD74"/>
      <c r="AE74" s="141"/>
      <c r="AF74" s="141"/>
      <c r="AG74"/>
      <c r="AH74"/>
      <c r="AI74" s="213"/>
      <c r="AJ74"/>
    </row>
    <row r="75" spans="1:36" s="28" customFormat="1" ht="12.75">
      <c r="A75" s="642"/>
      <c r="D75" s="60"/>
      <c r="E75" s="137">
        <f t="shared" si="40"/>
        <v>0.443</v>
      </c>
      <c r="F75" s="326"/>
      <c r="G75" s="327"/>
      <c r="H75" s="327"/>
      <c r="I75" s="327"/>
      <c r="J75" s="327"/>
      <c r="K75" s="327"/>
      <c r="L75" s="327"/>
      <c r="M75" s="328"/>
      <c r="S75" s="53"/>
      <c r="T75" s="53"/>
      <c r="AC75"/>
      <c r="AD75"/>
      <c r="AE75" s="141"/>
      <c r="AF75" s="141"/>
      <c r="AG75"/>
      <c r="AH75"/>
      <c r="AI75"/>
      <c r="AJ75"/>
    </row>
    <row r="76" spans="1:36" s="28" customFormat="1" ht="12.75">
      <c r="A76" s="642"/>
      <c r="E76" s="137">
        <f t="shared" si="40"/>
        <v>0.44800000000000001</v>
      </c>
      <c r="F76" s="326"/>
      <c r="G76" s="327"/>
      <c r="H76" s="327"/>
      <c r="I76" s="327"/>
      <c r="J76" s="327"/>
      <c r="K76" s="327"/>
      <c r="L76" s="327"/>
      <c r="M76" s="328"/>
      <c r="S76" s="53"/>
      <c r="T76" s="53"/>
      <c r="AC76"/>
      <c r="AD76"/>
      <c r="AE76" s="141"/>
      <c r="AF76" s="141"/>
      <c r="AG76"/>
      <c r="AH76"/>
      <c r="AI76"/>
      <c r="AJ76"/>
    </row>
    <row r="77" spans="1:36" s="28" customFormat="1" ht="12.75">
      <c r="A77" s="642"/>
      <c r="E77" s="137">
        <f t="shared" si="40"/>
        <v>0.45300000000000001</v>
      </c>
      <c r="F77" s="326"/>
      <c r="G77" s="327"/>
      <c r="H77" s="327"/>
      <c r="I77" s="327"/>
      <c r="J77" s="327"/>
      <c r="K77" s="327"/>
      <c r="L77" s="327"/>
      <c r="M77" s="328"/>
      <c r="S77" s="53"/>
      <c r="T77" s="53"/>
      <c r="AC77"/>
      <c r="AD77"/>
      <c r="AE77" s="141"/>
      <c r="AF77" s="141"/>
      <c r="AG77"/>
      <c r="AH77"/>
      <c r="AI77"/>
      <c r="AJ77"/>
    </row>
    <row r="78" spans="1:36" s="28" customFormat="1" ht="12.75">
      <c r="A78" s="642"/>
      <c r="E78" s="137">
        <f t="shared" si="40"/>
        <v>0.45800000000000002</v>
      </c>
      <c r="F78" s="329"/>
      <c r="G78" s="330"/>
      <c r="H78" s="330"/>
      <c r="I78" s="330"/>
      <c r="J78" s="330"/>
      <c r="K78" s="330"/>
      <c r="L78" s="331"/>
      <c r="M78" s="220"/>
      <c r="S78" s="53"/>
      <c r="T78" s="53"/>
      <c r="AC78"/>
      <c r="AD78"/>
      <c r="AE78" s="141"/>
      <c r="AF78" s="141"/>
      <c r="AG78"/>
      <c r="AH78"/>
      <c r="AI78"/>
      <c r="AJ78"/>
    </row>
    <row r="79" spans="1:36" s="28" customFormat="1" ht="12.75">
      <c r="A79" s="642"/>
      <c r="E79" s="91"/>
      <c r="S79" s="53"/>
      <c r="T79" s="53"/>
      <c r="AC79"/>
      <c r="AD79"/>
      <c r="AE79" s="141"/>
      <c r="AF79" s="141"/>
      <c r="AG79"/>
      <c r="AH79"/>
      <c r="AI79"/>
      <c r="AJ79"/>
    </row>
    <row r="80" spans="1:36" s="28" customFormat="1" ht="12.75">
      <c r="A80" s="642" t="s">
        <v>43</v>
      </c>
      <c r="E80" s="125">
        <f>E63</f>
        <v>5.0000000000000001E-3</v>
      </c>
      <c r="F80" s="58" t="s">
        <v>94</v>
      </c>
      <c r="S80" s="53"/>
      <c r="T80" s="53"/>
      <c r="AC80"/>
      <c r="AD80"/>
      <c r="AE80" s="141"/>
      <c r="AF80" s="141"/>
      <c r="AG80"/>
      <c r="AH80"/>
      <c r="AI80"/>
      <c r="AJ80"/>
    </row>
    <row r="81" spans="1:36" s="28" customFormat="1" ht="12.75">
      <c r="A81" s="642"/>
      <c r="F81" s="127"/>
      <c r="G81" s="126"/>
      <c r="H81" s="128"/>
      <c r="I81" s="29"/>
      <c r="J81" s="29"/>
      <c r="K81" s="29"/>
      <c r="L81" s="141"/>
      <c r="M81" s="141"/>
      <c r="N81" s="141"/>
      <c r="O81" s="141"/>
      <c r="P81" s="141"/>
      <c r="Q81"/>
      <c r="R81"/>
      <c r="S81"/>
      <c r="T81" s="53"/>
      <c r="AC81"/>
      <c r="AD81"/>
      <c r="AE81" s="141"/>
      <c r="AF81" s="141"/>
      <c r="AG81"/>
      <c r="AH81"/>
      <c r="AI81"/>
      <c r="AJ81"/>
    </row>
    <row r="82" spans="1:36" s="28" customFormat="1" ht="12.75">
      <c r="A82" s="642"/>
      <c r="B82"/>
      <c r="C82"/>
      <c r="D82"/>
      <c r="E82"/>
      <c r="F82"/>
      <c r="G82"/>
      <c r="H82"/>
      <c r="I82" s="141"/>
      <c r="J82" s="141"/>
      <c r="K82" s="141"/>
      <c r="L82" s="141"/>
      <c r="M82" s="141"/>
      <c r="N82" s="141"/>
      <c r="O82" s="141"/>
      <c r="P82" s="141"/>
      <c r="Q82"/>
      <c r="R82"/>
      <c r="S82"/>
      <c r="T82"/>
      <c r="U82"/>
      <c r="V82"/>
      <c r="W82"/>
      <c r="AC82"/>
      <c r="AD82"/>
      <c r="AE82" s="141"/>
      <c r="AF82" s="141"/>
      <c r="AG82"/>
      <c r="AH82"/>
      <c r="AI82"/>
      <c r="AJ82"/>
    </row>
    <row r="83" spans="1:36" ht="13.15" customHeight="1">
      <c r="I83" s="141"/>
      <c r="J83" s="141"/>
      <c r="K83" s="141"/>
      <c r="L83" s="436"/>
      <c r="M83" s="436"/>
      <c r="N83" s="413"/>
      <c r="O83" s="413"/>
      <c r="P83" s="141"/>
      <c r="AA83" s="432"/>
      <c r="AB83" s="432"/>
      <c r="AE83" s="141"/>
      <c r="AF83" s="141"/>
    </row>
    <row r="84" spans="1:36" ht="13.15" customHeight="1">
      <c r="I84" s="141"/>
      <c r="J84" s="436"/>
      <c r="K84" s="436"/>
      <c r="L84" s="141"/>
      <c r="M84" s="141"/>
      <c r="N84" s="141"/>
      <c r="O84" s="141"/>
      <c r="P84" s="141"/>
      <c r="AA84" s="432"/>
      <c r="AB84" s="432"/>
      <c r="AE84" s="141"/>
      <c r="AF84" s="141"/>
    </row>
    <row r="85" spans="1:36" ht="13.15" customHeight="1">
      <c r="I85" s="141"/>
      <c r="J85" s="141"/>
      <c r="K85" s="141"/>
      <c r="L85" s="141"/>
      <c r="M85" s="141"/>
      <c r="N85" s="141"/>
      <c r="O85" s="141"/>
      <c r="P85" s="141"/>
      <c r="AA85" s="432"/>
      <c r="AB85" s="432"/>
      <c r="AE85" s="141"/>
      <c r="AF85" s="141"/>
    </row>
    <row r="86" spans="1:36" ht="13.15" customHeight="1">
      <c r="I86" s="141"/>
      <c r="J86" s="141"/>
      <c r="K86" s="141"/>
      <c r="L86" s="141"/>
      <c r="M86" s="141"/>
      <c r="N86" s="141"/>
      <c r="O86" s="141"/>
      <c r="P86" s="141"/>
      <c r="AA86" s="432"/>
      <c r="AB86" s="432"/>
      <c r="AE86" s="141"/>
      <c r="AF86" s="141"/>
    </row>
    <row r="87" spans="1:36" ht="13.15" customHeight="1">
      <c r="I87" s="141"/>
      <c r="J87" s="141"/>
      <c r="K87" s="141"/>
      <c r="L87" s="141"/>
      <c r="M87" s="141"/>
      <c r="N87" s="141"/>
      <c r="O87" s="141"/>
      <c r="P87" s="141"/>
      <c r="AA87" s="432"/>
      <c r="AB87" s="432"/>
      <c r="AE87" s="141"/>
      <c r="AF87" s="141"/>
    </row>
    <row r="88" spans="1:36" ht="13.15" customHeight="1">
      <c r="A88" s="642" t="s">
        <v>43</v>
      </c>
      <c r="B88" s="77" t="s">
        <v>49</v>
      </c>
      <c r="I88" s="141"/>
      <c r="J88" s="141"/>
      <c r="K88" s="141"/>
      <c r="L88" s="141"/>
      <c r="M88" s="141"/>
      <c r="N88" s="141"/>
      <c r="O88" s="141"/>
      <c r="P88" s="141"/>
      <c r="AA88" s="432"/>
      <c r="AB88" s="432"/>
      <c r="AE88" s="141"/>
      <c r="AF88" s="141"/>
    </row>
  </sheetData>
  <phoneticPr fontId="17" type="noConversion"/>
  <pageMargins left="0.5" right="0.5" top="0.5" bottom="0.65" header="0.25" footer="0.25"/>
  <pageSetup scale="86" orientation="landscape" r:id="rId1"/>
  <headerFooter alignWithMargins="0">
    <oddFooter>&amp;C&amp;8&amp;G&amp;R&amp;8For training purposes only!&amp;L&amp;8COPYRIGHT 2017 © by Training The Street, Inc</oddFooter>
  </headerFooter>
  <rowBreaks count="1" manualBreakCount="1">
    <brk id="39" max="16383" man="1"/>
  </rowBreaks>
  <drawing r:id="rId2"/>
  <legacyDrawing r:id="rId3"/>
  <legacyDrawingHF r:id="rId4"/>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AA35"/>
  <sheetViews>
    <sheetView showGridLines="0" zoomScaleSheetLayoutView="100" workbookViewId="0"/>
  </sheetViews>
  <sheetFormatPr defaultColWidth="8.85546875" defaultRowHeight="13.15" customHeight="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9" width="9.140625" customWidth="1"/>
    <col min="21" max="21" width="9.140625" customWidth="1"/>
  </cols>
  <sheetData>
    <row r="1" spans="1:27" ht="18.75" thickBot="1">
      <c r="B1" s="1" t="str">
        <f>"Balance Sheet for "&amp;name</f>
        <v>Balance Sheet for McCormick &amp; Co. Inc.</v>
      </c>
    </row>
    <row r="2" spans="1:27" ht="12.75">
      <c r="B2" s="2" t="str">
        <f>Subheader</f>
        <v>Dollars in millions, except per share data</v>
      </c>
      <c r="C2" s="3"/>
      <c r="D2" s="3"/>
      <c r="E2" s="3"/>
      <c r="F2" s="3"/>
      <c r="G2" s="3"/>
      <c r="H2" s="3"/>
      <c r="I2" s="3"/>
      <c r="J2" s="3"/>
      <c r="K2" s="3"/>
      <c r="L2" s="3"/>
      <c r="M2" s="3"/>
      <c r="N2" s="3"/>
      <c r="O2" s="3"/>
      <c r="P2" s="3"/>
    </row>
    <row r="3" spans="1:27" ht="12.75"/>
    <row r="4" spans="1:27" ht="12.75">
      <c r="I4" s="18" t="str">
        <f>is!I$4</f>
        <v>Historical Year Ending November 30,</v>
      </c>
      <c r="J4" s="18"/>
      <c r="K4" s="104"/>
      <c r="L4" s="525" t="str">
        <f>is!L$4</f>
        <v>Projected Year Ending November 30,</v>
      </c>
      <c r="M4" s="525"/>
      <c r="N4" s="525"/>
      <c r="O4" s="525"/>
      <c r="P4" s="104"/>
    </row>
    <row r="5" spans="1:27" ht="12.75">
      <c r="I5" s="523">
        <f>is!I$5</f>
        <v>2011</v>
      </c>
      <c r="J5" s="434">
        <f>is!J$5</f>
        <v>2012</v>
      </c>
      <c r="K5" s="232">
        <f>is!K$5</f>
        <v>2013</v>
      </c>
      <c r="L5" s="590">
        <f>is!L$5</f>
        <v>2014</v>
      </c>
      <c r="M5" s="434">
        <f>is!M$5</f>
        <v>2015</v>
      </c>
      <c r="N5" s="434">
        <f>is!N$5</f>
        <v>2016</v>
      </c>
      <c r="O5" s="434">
        <f>is!O$5</f>
        <v>2017</v>
      </c>
      <c r="P5" s="434">
        <f>is!P$5</f>
        <v>2018</v>
      </c>
    </row>
    <row r="6" spans="1:27" ht="12.75">
      <c r="G6" s="556"/>
      <c r="I6" s="214"/>
      <c r="J6" s="12"/>
      <c r="K6" s="604"/>
      <c r="L6" s="141"/>
      <c r="M6" s="141"/>
      <c r="N6" s="141"/>
      <c r="O6" s="141"/>
      <c r="P6" s="141"/>
    </row>
    <row r="7" spans="1:27" ht="12.75">
      <c r="A7" s="642" t="s">
        <v>43</v>
      </c>
      <c r="B7" t="s">
        <v>88</v>
      </c>
      <c r="D7" s="41"/>
      <c r="G7" s="556"/>
      <c r="I7" s="98">
        <v>53.9</v>
      </c>
      <c r="J7" s="83">
        <v>79</v>
      </c>
      <c r="K7" s="618">
        <v>63</v>
      </c>
      <c r="L7" s="26">
        <f ca="1">cf!L34</f>
        <v>50</v>
      </c>
      <c r="M7" s="26">
        <f ca="1">cf!M34</f>
        <v>50</v>
      </c>
      <c r="N7" s="26">
        <f ca="1">cf!N34</f>
        <v>90.16706277866399</v>
      </c>
      <c r="O7" s="26">
        <f ca="1">cf!O34</f>
        <v>50</v>
      </c>
      <c r="P7" s="26">
        <f ca="1">cf!P34</f>
        <v>208.07308978198262</v>
      </c>
    </row>
    <row r="8" spans="1:27" s="6" customFormat="1" ht="12.75">
      <c r="A8" s="642"/>
      <c r="B8" s="6" t="s">
        <v>118</v>
      </c>
      <c r="G8" s="556"/>
      <c r="I8" s="51">
        <v>427</v>
      </c>
      <c r="J8" s="82">
        <v>465.9</v>
      </c>
      <c r="K8" s="97">
        <v>495.5</v>
      </c>
      <c r="L8" s="101">
        <f>workingcap!L11</f>
        <v>511.07566027397257</v>
      </c>
      <c r="M8" s="101">
        <f>workingcap!M11</f>
        <v>533.05191366575332</v>
      </c>
      <c r="N8" s="101">
        <f>workingcap!N11</f>
        <v>557.5723016943781</v>
      </c>
      <c r="O8" s="101">
        <f>workingcap!O11</f>
        <v>584.89334447740259</v>
      </c>
      <c r="P8" s="101">
        <f>workingcap!P11</f>
        <v>615.3077983902275</v>
      </c>
    </row>
    <row r="9" spans="1:27" s="6" customFormat="1" ht="12.75">
      <c r="A9" s="642"/>
      <c r="B9" s="6" t="s">
        <v>89</v>
      </c>
      <c r="H9" s="51"/>
      <c r="I9" s="51">
        <v>613.70000000000005</v>
      </c>
      <c r="J9" s="82">
        <v>615</v>
      </c>
      <c r="K9" s="97">
        <v>676.9</v>
      </c>
      <c r="L9" s="101">
        <f>workingcap!L12</f>
        <v>679.48390198356151</v>
      </c>
      <c r="M9" s="101">
        <f>workingcap!M12</f>
        <v>699.2783322606025</v>
      </c>
      <c r="N9" s="101">
        <f>workingcap!N12</f>
        <v>721.63955368720656</v>
      </c>
      <c r="O9" s="101">
        <f>workingcap!O12</f>
        <v>746.76761974552778</v>
      </c>
      <c r="P9" s="101">
        <f>workingcap!P12</f>
        <v>774.89176577961928</v>
      </c>
      <c r="AA9" s="119"/>
    </row>
    <row r="10" spans="1:27" s="6" customFormat="1" ht="12.75">
      <c r="A10" s="642"/>
      <c r="B10" s="6" t="s">
        <v>70</v>
      </c>
      <c r="F10" s="41"/>
      <c r="I10" s="51">
        <v>128.30000000000001</v>
      </c>
      <c r="J10" s="51">
        <v>125.5</v>
      </c>
      <c r="K10" s="210">
        <v>134.80000000000001</v>
      </c>
      <c r="L10" s="101">
        <f>workingcap!L13</f>
        <v>141.51508799999999</v>
      </c>
      <c r="M10" s="101">
        <f>workingcap!M13</f>
        <v>147.60023678399997</v>
      </c>
      <c r="N10" s="101">
        <f>workingcap!N13</f>
        <v>154.38984767606399</v>
      </c>
      <c r="O10" s="101">
        <f>workingcap!O13</f>
        <v>161.95495021219114</v>
      </c>
      <c r="P10" s="101">
        <f>workingcap!P13</f>
        <v>170.37660762322508</v>
      </c>
    </row>
    <row r="11" spans="1:27" ht="12.75">
      <c r="A11" s="642" t="s">
        <v>43</v>
      </c>
      <c r="C11" t="s">
        <v>214</v>
      </c>
      <c r="I11" s="545">
        <f>SUM(I7:I10)</f>
        <v>1222.8999999999999</v>
      </c>
      <c r="J11" s="473">
        <f>SUM(J7:J10)</f>
        <v>1285.4000000000001</v>
      </c>
      <c r="K11" s="624">
        <f>SUM(K7:K10)</f>
        <v>1370.2</v>
      </c>
      <c r="L11" s="473">
        <f t="shared" ref="L11:P11" ca="1" si="0">SUM(L7:L10)</f>
        <v>1382.0746502575339</v>
      </c>
      <c r="M11" s="473">
        <f t="shared" ca="1" si="0"/>
        <v>1429.9304827103558</v>
      </c>
      <c r="N11" s="473">
        <f t="shared" ca="1" si="0"/>
        <v>1523.7687658363127</v>
      </c>
      <c r="O11" s="473">
        <f t="shared" ca="1" si="0"/>
        <v>1543.6159144351216</v>
      </c>
      <c r="P11" s="473">
        <f t="shared" ca="1" si="0"/>
        <v>1768.6492615750544</v>
      </c>
    </row>
    <row r="12" spans="1:27" ht="12.75">
      <c r="E12" s="28"/>
      <c r="H12" s="28"/>
      <c r="I12" s="51"/>
      <c r="J12" s="51"/>
      <c r="K12" s="625"/>
      <c r="L12" s="141"/>
      <c r="M12" s="141"/>
      <c r="N12" s="141"/>
      <c r="O12" s="141"/>
      <c r="P12" s="141"/>
    </row>
    <row r="13" spans="1:27" s="6" customFormat="1" ht="12.75">
      <c r="A13" s="642"/>
      <c r="B13" s="52" t="s">
        <v>90</v>
      </c>
      <c r="C13" s="52"/>
      <c r="D13" s="52"/>
      <c r="E13" s="52"/>
      <c r="F13" s="52"/>
      <c r="G13" s="52"/>
      <c r="H13" s="51"/>
      <c r="I13" s="51">
        <v>523.1</v>
      </c>
      <c r="J13" s="51">
        <v>547.29999999999995</v>
      </c>
      <c r="K13" s="210">
        <v>576.6</v>
      </c>
      <c r="L13" s="101">
        <f>dep!L19</f>
        <v>592.6</v>
      </c>
      <c r="M13" s="101">
        <f>dep!M19</f>
        <v>607.62838774528007</v>
      </c>
      <c r="N13" s="101">
        <f>dep!N19</f>
        <v>618.10818346632198</v>
      </c>
      <c r="O13" s="101">
        <f>dep!O19</f>
        <v>623.6048363220084</v>
      </c>
      <c r="P13" s="101">
        <f>dep!P19</f>
        <v>623.6048363220084</v>
      </c>
    </row>
    <row r="14" spans="1:27" s="6" customFormat="1" ht="12.75">
      <c r="A14" s="642"/>
      <c r="B14" s="6" t="s">
        <v>71</v>
      </c>
      <c r="F14" s="41"/>
      <c r="H14" s="20"/>
      <c r="I14" s="51">
        <f>82.8-21.1</f>
        <v>61.699999999999996</v>
      </c>
      <c r="J14" s="51">
        <f>80.9-25</f>
        <v>55.900000000000006</v>
      </c>
      <c r="K14" s="210">
        <f>93.9-30.2</f>
        <v>63.7</v>
      </c>
      <c r="L14" s="101">
        <f>amort!L19</f>
        <v>64.7</v>
      </c>
      <c r="M14" s="101">
        <f>amort!M19</f>
        <v>65.7</v>
      </c>
      <c r="N14" s="101">
        <f>amort!N19</f>
        <v>66.7</v>
      </c>
      <c r="O14" s="101">
        <f>amort!O19</f>
        <v>67.7</v>
      </c>
      <c r="P14" s="101">
        <f>amort!P19</f>
        <v>68.7</v>
      </c>
    </row>
    <row r="15" spans="1:27" s="6" customFormat="1" ht="12.75">
      <c r="A15" s="642"/>
      <c r="B15" s="75" t="s">
        <v>72</v>
      </c>
      <c r="F15" s="41"/>
      <c r="H15" s="76"/>
      <c r="I15" s="51">
        <f>277+11.3</f>
        <v>288.3</v>
      </c>
      <c r="J15" s="51">
        <v>267.60000000000002</v>
      </c>
      <c r="K15" s="210">
        <v>269.7</v>
      </c>
      <c r="L15" s="227">
        <f>other!L8</f>
        <v>269.7</v>
      </c>
      <c r="M15" s="227">
        <f>other!M8</f>
        <v>269.7</v>
      </c>
      <c r="N15" s="227">
        <f>other!N8</f>
        <v>269.7</v>
      </c>
      <c r="O15" s="227">
        <f>other!O8</f>
        <v>269.7</v>
      </c>
      <c r="P15" s="227">
        <f>other!P8</f>
        <v>269.7</v>
      </c>
    </row>
    <row r="16" spans="1:27" s="6" customFormat="1" ht="12.75">
      <c r="A16" s="642"/>
      <c r="B16" s="52" t="s">
        <v>97</v>
      </c>
      <c r="D16" s="28"/>
      <c r="E16"/>
      <c r="F16" s="41"/>
      <c r="H16"/>
      <c r="I16" s="51">
        <v>1694.2</v>
      </c>
      <c r="J16" s="62">
        <v>1695.3</v>
      </c>
      <c r="K16" s="210">
        <v>1798.5</v>
      </c>
      <c r="L16" s="227">
        <f>other!L9</f>
        <v>1798.5</v>
      </c>
      <c r="M16" s="227">
        <f>other!M9</f>
        <v>1798.5</v>
      </c>
      <c r="N16" s="227">
        <f>other!N9</f>
        <v>1798.5</v>
      </c>
      <c r="O16" s="227">
        <f>other!O9</f>
        <v>1798.5</v>
      </c>
      <c r="P16" s="227">
        <f>other!P9</f>
        <v>1798.5</v>
      </c>
    </row>
    <row r="17" spans="1:16" s="21" customFormat="1" ht="12.75">
      <c r="A17" s="642"/>
      <c r="B17" s="6" t="s">
        <v>73</v>
      </c>
      <c r="D17" s="56"/>
      <c r="E17" s="56"/>
      <c r="F17" s="6"/>
      <c r="G17" s="6"/>
      <c r="H17" s="62"/>
      <c r="I17" s="51">
        <f>71.4+36+59.7</f>
        <v>167.10000000000002</v>
      </c>
      <c r="J17" s="20">
        <f>86.1+28.4+57.7</f>
        <v>172.2</v>
      </c>
      <c r="K17" s="97">
        <f>103.4+19.3+87.7</f>
        <v>210.4</v>
      </c>
      <c r="L17" s="227">
        <f>other!L10</f>
        <v>210.4</v>
      </c>
      <c r="M17" s="227">
        <f>other!M10</f>
        <v>210.4</v>
      </c>
      <c r="N17" s="227">
        <f>other!N10</f>
        <v>210.4</v>
      </c>
      <c r="O17" s="227">
        <f>other!O10</f>
        <v>210.4</v>
      </c>
      <c r="P17" s="227">
        <f>other!P10</f>
        <v>210.4</v>
      </c>
    </row>
    <row r="18" spans="1:16" s="21" customFormat="1" ht="12.75">
      <c r="A18" s="642"/>
      <c r="B18" s="229" t="s">
        <v>164</v>
      </c>
      <c r="D18" s="56"/>
      <c r="E18" s="56"/>
      <c r="F18" s="6"/>
      <c r="G18" s="6"/>
      <c r="H18" s="62"/>
      <c r="I18" s="51">
        <v>130.5</v>
      </c>
      <c r="J18" s="20">
        <v>141.69999999999999</v>
      </c>
      <c r="K18" s="97">
        <v>160.6</v>
      </c>
      <c r="L18" s="227">
        <f>other!L25</f>
        <v>169.94499999999999</v>
      </c>
      <c r="M18" s="227">
        <f>other!M25</f>
        <v>179.98999999999998</v>
      </c>
      <c r="N18" s="227">
        <f>other!N25</f>
        <v>190.73499999999996</v>
      </c>
      <c r="O18" s="227">
        <f>other!O25</f>
        <v>202.17999999999995</v>
      </c>
      <c r="P18" s="227">
        <f>other!P25</f>
        <v>214.32499999999993</v>
      </c>
    </row>
    <row r="19" spans="1:16" s="22" customFormat="1" ht="12.75">
      <c r="A19" s="642" t="s">
        <v>43</v>
      </c>
      <c r="C19" s="22" t="s">
        <v>215</v>
      </c>
      <c r="I19" s="287">
        <f>SUM(I11:I18)</f>
        <v>4087.7999999999997</v>
      </c>
      <c r="J19" s="287">
        <f t="shared" ref="J19:P19" si="1">SUM(J11:J18)</f>
        <v>4165.3999999999996</v>
      </c>
      <c r="K19" s="626">
        <f t="shared" si="1"/>
        <v>4449.7000000000007</v>
      </c>
      <c r="L19" s="287">
        <f t="shared" ca="1" si="1"/>
        <v>4487.9196502575332</v>
      </c>
      <c r="M19" s="287">
        <f t="shared" ca="1" si="1"/>
        <v>4561.8488704556348</v>
      </c>
      <c r="N19" s="287">
        <f t="shared" ca="1" si="1"/>
        <v>4677.9119493026337</v>
      </c>
      <c r="O19" s="287">
        <f t="shared" ca="1" si="1"/>
        <v>4715.7007507571298</v>
      </c>
      <c r="P19" s="287">
        <f t="shared" ca="1" si="1"/>
        <v>4953.8790978970619</v>
      </c>
    </row>
    <row r="20" spans="1:16" ht="12.75">
      <c r="B20" s="41"/>
      <c r="H20" s="5"/>
      <c r="I20" s="51"/>
      <c r="J20" s="51"/>
      <c r="K20" s="625"/>
      <c r="L20" s="141"/>
      <c r="M20" s="141"/>
      <c r="N20" s="141"/>
      <c r="O20" s="141"/>
      <c r="P20" s="141"/>
    </row>
    <row r="21" spans="1:16" s="5" customFormat="1" ht="12.75">
      <c r="A21" s="642"/>
      <c r="B21" s="5" t="s">
        <v>74</v>
      </c>
      <c r="I21" s="98">
        <v>366.6</v>
      </c>
      <c r="J21" s="83">
        <v>375.8</v>
      </c>
      <c r="K21" s="618">
        <v>387.3</v>
      </c>
      <c r="L21" s="26">
        <f>workingcap!L16</f>
        <v>399.6964129315067</v>
      </c>
      <c r="M21" s="26">
        <f>workingcap!M16</f>
        <v>415.4128706498629</v>
      </c>
      <c r="N21" s="26">
        <f>workingcap!N16</f>
        <v>432.98373221232384</v>
      </c>
      <c r="O21" s="26">
        <f>workingcap!O16</f>
        <v>452.58643620941069</v>
      </c>
      <c r="P21" s="26">
        <f>workingcap!P16</f>
        <v>474.42353006915465</v>
      </c>
    </row>
    <row r="22" spans="1:16" ht="12.75">
      <c r="B22" t="s">
        <v>223</v>
      </c>
      <c r="F22" s="30"/>
      <c r="G22" s="30"/>
      <c r="H22" s="30"/>
      <c r="I22" s="51">
        <v>404.3</v>
      </c>
      <c r="J22" s="82">
        <v>419.2</v>
      </c>
      <c r="K22" s="97">
        <v>461.7</v>
      </c>
      <c r="L22" s="101">
        <f>workingcap!L17</f>
        <v>461.98243727999989</v>
      </c>
      <c r="M22" s="101">
        <f>workingcap!M17</f>
        <v>480.14804299279984</v>
      </c>
      <c r="N22" s="101">
        <f>workingcap!N17</f>
        <v>500.4570304820777</v>
      </c>
      <c r="O22" s="101">
        <f>workingcap!O17</f>
        <v>523.11448918537724</v>
      </c>
      <c r="P22" s="101">
        <f>workingcap!P17</f>
        <v>548.35453017159796</v>
      </c>
    </row>
    <row r="23" spans="1:16" ht="12.75">
      <c r="A23" s="642" t="s">
        <v>43</v>
      </c>
      <c r="C23" t="s">
        <v>216</v>
      </c>
      <c r="I23" s="545">
        <f>SUM(I21:I22)</f>
        <v>770.90000000000009</v>
      </c>
      <c r="J23" s="473">
        <f>SUM(J21:J22)</f>
        <v>795</v>
      </c>
      <c r="K23" s="624">
        <f>SUM(K21:K22)</f>
        <v>849</v>
      </c>
      <c r="L23" s="473">
        <f t="shared" ref="L23:P23" si="2">SUM(L21:L22)</f>
        <v>861.67885021150664</v>
      </c>
      <c r="M23" s="473">
        <f t="shared" si="2"/>
        <v>895.56091364266274</v>
      </c>
      <c r="N23" s="473">
        <f t="shared" si="2"/>
        <v>933.44076269440154</v>
      </c>
      <c r="O23" s="473">
        <f t="shared" si="2"/>
        <v>975.70092539478787</v>
      </c>
      <c r="P23" s="473">
        <f t="shared" si="2"/>
        <v>1022.7780602407527</v>
      </c>
    </row>
    <row r="24" spans="1:16" ht="12.75">
      <c r="H24" s="64"/>
      <c r="I24" s="547"/>
      <c r="J24" s="6"/>
      <c r="K24" s="140"/>
      <c r="L24" s="141"/>
      <c r="M24" s="141"/>
      <c r="N24" s="141"/>
      <c r="O24" s="141"/>
      <c r="P24" s="141"/>
    </row>
    <row r="25" spans="1:16" ht="12.75">
      <c r="B25" t="s">
        <v>75</v>
      </c>
      <c r="E25" s="41"/>
      <c r="I25" s="51">
        <v>217</v>
      </c>
      <c r="J25" s="51">
        <v>140.30000000000001</v>
      </c>
      <c r="K25" s="210">
        <v>211.6</v>
      </c>
      <c r="L25" s="101">
        <f ca="1">debt_interest!L21</f>
        <v>64.666005937263748</v>
      </c>
      <c r="M25" s="101">
        <f ca="1">debt_interest!M21</f>
        <v>119.51635811883276</v>
      </c>
      <c r="N25" s="101">
        <f ca="1">debt_interest!N21</f>
        <v>0</v>
      </c>
      <c r="O25" s="101">
        <f ca="1">debt_interest!O21</f>
        <v>34.571528513766538</v>
      </c>
      <c r="P25" s="101">
        <f ca="1">debt_interest!P21</f>
        <v>0</v>
      </c>
    </row>
    <row r="26" spans="1:16" ht="12.75">
      <c r="B26" t="s">
        <v>76</v>
      </c>
      <c r="F26" s="41"/>
      <c r="G26" s="6"/>
      <c r="I26" s="51">
        <f>5.4+1029.7</f>
        <v>1035.1000000000001</v>
      </c>
      <c r="J26" s="51">
        <f>252.3+779.2</f>
        <v>1031.5</v>
      </c>
      <c r="K26" s="210">
        <f>2.5+1019</f>
        <v>1021.5</v>
      </c>
      <c r="L26" s="101">
        <f>debt_interest!L27</f>
        <v>1019</v>
      </c>
      <c r="M26" s="652">
        <f>debt_interest!M27</f>
        <v>817.5</v>
      </c>
      <c r="N26" s="652">
        <f>debt_interest!N27</f>
        <v>816.7</v>
      </c>
      <c r="O26" s="652">
        <f>debt_interest!O27</f>
        <v>565.80000000000007</v>
      </c>
      <c r="P26" s="652">
        <f>debt_interest!P27</f>
        <v>564.80000000000007</v>
      </c>
    </row>
    <row r="27" spans="1:16" ht="12.75">
      <c r="B27" t="s">
        <v>51</v>
      </c>
      <c r="I27" s="521">
        <v>446.3</v>
      </c>
      <c r="J27" s="51">
        <v>498.4</v>
      </c>
      <c r="K27" s="210">
        <v>419.9</v>
      </c>
      <c r="L27" s="227">
        <f>other!L15</f>
        <v>419.9</v>
      </c>
      <c r="M27" s="227">
        <f>other!M15</f>
        <v>419.9</v>
      </c>
      <c r="N27" s="227">
        <f>other!N15</f>
        <v>419.9</v>
      </c>
      <c r="O27" s="227">
        <f>other!O15</f>
        <v>419.9</v>
      </c>
      <c r="P27" s="227">
        <f>other!P15</f>
        <v>419.9</v>
      </c>
    </row>
    <row r="28" spans="1:16" ht="12.75">
      <c r="A28" s="642" t="s">
        <v>43</v>
      </c>
      <c r="C28" t="s">
        <v>217</v>
      </c>
      <c r="I28" s="545">
        <f t="shared" ref="I28:P28" si="3">SUM(I25:I27,I23)</f>
        <v>2469.3000000000002</v>
      </c>
      <c r="J28" s="473">
        <f t="shared" si="3"/>
        <v>2465.1999999999998</v>
      </c>
      <c r="K28" s="624">
        <f t="shared" si="3"/>
        <v>2502</v>
      </c>
      <c r="L28" s="473">
        <f t="shared" ca="1" si="3"/>
        <v>2365.2448561487699</v>
      </c>
      <c r="M28" s="473">
        <f t="shared" ca="1" si="3"/>
        <v>2252.4772717614956</v>
      </c>
      <c r="N28" s="473">
        <f t="shared" ca="1" si="3"/>
        <v>2170.0407626944016</v>
      </c>
      <c r="O28" s="473">
        <f t="shared" ca="1" si="3"/>
        <v>1995.9724539085546</v>
      </c>
      <c r="P28" s="473">
        <f t="shared" ca="1" si="3"/>
        <v>2007.4780602407527</v>
      </c>
    </row>
    <row r="29" spans="1:16" ht="12.75">
      <c r="G29" s="16"/>
      <c r="I29" s="52"/>
      <c r="K29" s="140"/>
      <c r="L29" s="141"/>
      <c r="M29" s="141"/>
      <c r="N29" s="141"/>
      <c r="O29" s="141"/>
      <c r="P29" s="141"/>
    </row>
    <row r="30" spans="1:16" ht="12.75">
      <c r="B30" t="s">
        <v>16</v>
      </c>
      <c r="I30" s="522">
        <v>1618.5</v>
      </c>
      <c r="J30" s="82">
        <v>1700.2</v>
      </c>
      <c r="K30" s="97">
        <v>1947.7</v>
      </c>
      <c r="L30" s="101">
        <f ca="1">equity!L13</f>
        <v>2122.6747941087633</v>
      </c>
      <c r="M30" s="101">
        <f ca="1">equity!M13</f>
        <v>2309.3715986941397</v>
      </c>
      <c r="N30" s="101">
        <f ca="1">equity!N13</f>
        <v>2507.8711866082317</v>
      </c>
      <c r="O30" s="101">
        <f ca="1">equity!O13</f>
        <v>2719.7282968485742</v>
      </c>
      <c r="P30" s="101">
        <f ca="1">equity!P13</f>
        <v>2946.4010376563087</v>
      </c>
    </row>
    <row r="31" spans="1:16" ht="12.75">
      <c r="I31" s="28"/>
      <c r="K31" s="604"/>
      <c r="L31" s="141"/>
      <c r="M31" s="141"/>
      <c r="N31" s="141"/>
      <c r="O31" s="141"/>
      <c r="P31" s="141"/>
    </row>
    <row r="32" spans="1:16" s="7" customFormat="1" ht="12.75">
      <c r="A32" s="642" t="s">
        <v>43</v>
      </c>
      <c r="B32" s="7" t="s">
        <v>218</v>
      </c>
      <c r="I32" s="190">
        <f>I28+I30</f>
        <v>4087.8</v>
      </c>
      <c r="J32" s="190">
        <f t="shared" ref="J32:K32" si="4">J28+J30</f>
        <v>4165.3999999999996</v>
      </c>
      <c r="K32" s="606">
        <f t="shared" si="4"/>
        <v>4449.7</v>
      </c>
      <c r="L32" s="190">
        <f t="shared" ref="L32:P32" ca="1" si="5">L28+L30</f>
        <v>4487.9196502575332</v>
      </c>
      <c r="M32" s="190">
        <f t="shared" ca="1" si="5"/>
        <v>4561.8488704556348</v>
      </c>
      <c r="N32" s="190">
        <f t="shared" ca="1" si="5"/>
        <v>4677.9119493026337</v>
      </c>
      <c r="O32" s="190">
        <f t="shared" ca="1" si="5"/>
        <v>4715.7007507571288</v>
      </c>
      <c r="P32" s="190">
        <f t="shared" ca="1" si="5"/>
        <v>4953.879097897061</v>
      </c>
    </row>
    <row r="33" spans="1:16" ht="12.75">
      <c r="D33" s="8" t="s">
        <v>102</v>
      </c>
      <c r="H33" s="103"/>
      <c r="I33" s="103">
        <f>IF(ABS(I19-I32)&lt;0.001,0,I19-I32)</f>
        <v>0</v>
      </c>
      <c r="J33" s="103">
        <f>IF(ABS(J19-J32)&lt;0.001,0,J19-J32)</f>
        <v>0</v>
      </c>
      <c r="K33" s="627">
        <f>IF(ABS(K19-K32)&lt;0.001,0,K19-K32)</f>
        <v>0</v>
      </c>
      <c r="L33" s="435">
        <f t="shared" ref="L33:P33" ca="1" si="6">IF(ABS(L19-L32)&lt;0.001,0,L19-L32)</f>
        <v>0</v>
      </c>
      <c r="M33" s="435">
        <f t="shared" ca="1" si="6"/>
        <v>0</v>
      </c>
      <c r="N33" s="435">
        <f t="shared" ca="1" si="6"/>
        <v>0</v>
      </c>
      <c r="O33" s="435">
        <f t="shared" ca="1" si="6"/>
        <v>0</v>
      </c>
      <c r="P33" s="435">
        <f t="shared" ca="1" si="6"/>
        <v>0</v>
      </c>
    </row>
    <row r="34" spans="1:16" s="28" customFormat="1" ht="12.75">
      <c r="A34" s="642"/>
      <c r="C34" s="138"/>
      <c r="I34"/>
      <c r="J34"/>
      <c r="K34" s="141"/>
      <c r="L34" s="141"/>
      <c r="M34" s="141"/>
      <c r="N34" s="141"/>
      <c r="O34" s="141"/>
      <c r="P34" s="141"/>
    </row>
    <row r="35" spans="1:16" ht="13.15" customHeight="1">
      <c r="A35" s="642" t="s">
        <v>43</v>
      </c>
      <c r="B35" s="77" t="s">
        <v>49</v>
      </c>
      <c r="I35" s="252"/>
      <c r="J35" s="252"/>
      <c r="K35" s="252"/>
      <c r="L35" s="12"/>
      <c r="M35" s="12"/>
      <c r="N35" s="436"/>
      <c r="O35" s="436"/>
      <c r="P35" s="436"/>
    </row>
  </sheetData>
  <phoneticPr fontId="17" type="noConversion"/>
  <pageMargins left="0.5" right="0.5" top="0.5" bottom="0.65" header="0.25" footer="0.25"/>
  <pageSetup scale="97" orientation="landscape" r:id="rId1"/>
  <headerFooter alignWithMargins="0">
    <oddFooter>&amp;C&amp;8&amp;G&amp;R&amp;8For training purposes only!&amp;L&amp;8COPYRIGHT 2017 © by Training The Street, Inc</oddFooter>
  </headerFooter>
  <legacyDrawing r:id="rId2"/>
  <legacyDrawingHF r:id="rId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P37"/>
  <sheetViews>
    <sheetView showGridLines="0" zoomScaleSheetLayoutView="100" workbookViewId="0"/>
  </sheetViews>
  <sheetFormatPr defaultColWidth="8.85546875" defaultRowHeight="13.15" customHeight="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7" width="9.140625" customWidth="1"/>
  </cols>
  <sheetData>
    <row r="1" spans="1:16" ht="18.75" thickBot="1">
      <c r="B1" s="1" t="str">
        <f>"Projected Cash Flow Statement for "&amp;name</f>
        <v>Projected Cash Flow Statement for McCormick &amp; Co. Inc.</v>
      </c>
    </row>
    <row r="2" spans="1:16" ht="12.75">
      <c r="B2" s="2" t="str">
        <f>Subheader</f>
        <v>Dollars in millions, except per share data</v>
      </c>
      <c r="C2" s="3"/>
      <c r="D2" s="3"/>
      <c r="E2" s="3"/>
      <c r="F2" s="3"/>
      <c r="G2" s="3"/>
      <c r="H2" s="3"/>
      <c r="I2" s="3"/>
      <c r="J2" s="3"/>
      <c r="K2" s="3"/>
      <c r="L2" s="3"/>
      <c r="M2" s="3"/>
      <c r="N2" s="3"/>
      <c r="O2" s="3"/>
      <c r="P2" s="3"/>
    </row>
    <row r="4" spans="1:16" ht="12.75">
      <c r="I4" s="19"/>
      <c r="J4" s="19"/>
      <c r="K4" s="19"/>
      <c r="L4" s="18" t="str">
        <f>is!L$4</f>
        <v>Projected Year Ending November 30,</v>
      </c>
      <c r="M4" s="18"/>
      <c r="N4" s="18"/>
      <c r="O4" s="18"/>
      <c r="P4" s="18"/>
    </row>
    <row r="5" spans="1:16" ht="12.75">
      <c r="I5" s="10"/>
      <c r="J5" s="11"/>
      <c r="K5" s="11"/>
      <c r="L5" s="86">
        <f>is!L$5</f>
        <v>2014</v>
      </c>
      <c r="M5" s="86">
        <f>is!M$5</f>
        <v>2015</v>
      </c>
      <c r="N5" s="86">
        <f>is!N$5</f>
        <v>2016</v>
      </c>
      <c r="O5" s="86">
        <f>is!O$5</f>
        <v>2017</v>
      </c>
      <c r="P5" s="86">
        <f>is!P$5</f>
        <v>2018</v>
      </c>
    </row>
    <row r="6" spans="1:16" ht="12.75">
      <c r="B6" s="4" t="s">
        <v>111</v>
      </c>
    </row>
    <row r="7" spans="1:16" ht="12.75">
      <c r="A7" s="642" t="s">
        <v>43</v>
      </c>
      <c r="C7" t="s">
        <v>86</v>
      </c>
      <c r="L7" s="24">
        <f ca="1">is!L25</f>
        <v>444.21498382996754</v>
      </c>
      <c r="M7" s="24">
        <f ca="1">is!M25</f>
        <v>481.282472383195</v>
      </c>
      <c r="N7" s="24">
        <f ca="1">is!N25</f>
        <v>515.39349453562272</v>
      </c>
      <c r="O7" s="24">
        <f ca="1">is!O25</f>
        <v>553.66655387441847</v>
      </c>
      <c r="P7" s="24">
        <f ca="1">is!P25</f>
        <v>595.17320447941108</v>
      </c>
    </row>
    <row r="8" spans="1:16" ht="12.75">
      <c r="B8" s="52"/>
      <c r="C8" s="78" t="s">
        <v>52</v>
      </c>
      <c r="D8" s="52"/>
      <c r="E8" s="52"/>
      <c r="F8" s="52"/>
      <c r="G8" s="52"/>
      <c r="H8" s="52"/>
      <c r="L8" s="55">
        <f>equity!L9</f>
        <v>18.7</v>
      </c>
      <c r="M8" s="55">
        <f>equity!M9</f>
        <v>18.7</v>
      </c>
      <c r="N8" s="55">
        <f>equity!N9</f>
        <v>18.7</v>
      </c>
      <c r="O8" s="55">
        <f>equity!O9</f>
        <v>18.7</v>
      </c>
      <c r="P8" s="55">
        <f>equity!P9</f>
        <v>18.7</v>
      </c>
    </row>
    <row r="9" spans="1:16" ht="12.75">
      <c r="B9" s="6"/>
      <c r="C9" s="6" t="s">
        <v>91</v>
      </c>
      <c r="D9" s="6"/>
      <c r="E9" s="6"/>
      <c r="F9" s="6"/>
      <c r="G9" s="6"/>
      <c r="H9" s="6"/>
      <c r="L9" s="55">
        <f>dep!L11</f>
        <v>109</v>
      </c>
      <c r="M9" s="55">
        <f>dep!M11</f>
        <v>110.20817679871998</v>
      </c>
      <c r="N9" s="55">
        <f>dep!N11</f>
        <v>120.51765079198208</v>
      </c>
      <c r="O9" s="55">
        <f>dep!O11</f>
        <v>131.91966853647568</v>
      </c>
      <c r="P9" s="55">
        <f>dep!P11</f>
        <v>144.5619701045546</v>
      </c>
    </row>
    <row r="10" spans="1:16" ht="12.75">
      <c r="B10" s="6"/>
      <c r="C10" s="23" t="s">
        <v>212</v>
      </c>
      <c r="D10" s="6"/>
      <c r="E10" s="6"/>
      <c r="F10" s="6"/>
      <c r="G10" s="6"/>
      <c r="H10" s="6"/>
      <c r="L10" s="55">
        <f>amort!L11</f>
        <v>4</v>
      </c>
      <c r="M10" s="55">
        <f>amort!M11</f>
        <v>4</v>
      </c>
      <c r="N10" s="55">
        <f>amort!N11</f>
        <v>4</v>
      </c>
      <c r="O10" s="55">
        <f>amort!O11</f>
        <v>4</v>
      </c>
      <c r="P10" s="55">
        <f>amort!P11</f>
        <v>4</v>
      </c>
    </row>
    <row r="11" spans="1:16" ht="12.75">
      <c r="B11" s="6"/>
      <c r="C11" s="23" t="s">
        <v>175</v>
      </c>
      <c r="D11" s="6"/>
      <c r="E11" s="6"/>
      <c r="F11" s="6"/>
      <c r="G11" s="6"/>
      <c r="H11" s="6"/>
      <c r="L11" s="55">
        <f>-SUM(other!L23:L24)</f>
        <v>-9.3449999999999989</v>
      </c>
      <c r="M11" s="55">
        <f>-SUM(other!M23:M24)</f>
        <v>-10.044999999999998</v>
      </c>
      <c r="N11" s="55">
        <f>-SUM(other!N23:N24)</f>
        <v>-10.744999999999997</v>
      </c>
      <c r="O11" s="55">
        <f>-SUM(other!O23:O24)</f>
        <v>-11.445</v>
      </c>
      <c r="P11" s="55">
        <f>-SUM(other!P23:P24)</f>
        <v>-12.145</v>
      </c>
    </row>
    <row r="12" spans="1:16" ht="12.75">
      <c r="B12" s="6"/>
      <c r="C12" s="205" t="s">
        <v>213</v>
      </c>
      <c r="D12" s="6"/>
      <c r="E12" s="6"/>
      <c r="F12" s="6"/>
      <c r="G12" s="6"/>
      <c r="H12" s="6"/>
      <c r="L12" s="55">
        <f>workingcap!L22</f>
        <v>-12.195800046027216</v>
      </c>
      <c r="M12" s="55">
        <f>workingcap!M22</f>
        <v>-13.973769021665817</v>
      </c>
      <c r="N12" s="55">
        <f>workingcap!N22</f>
        <v>-15.791371295553972</v>
      </c>
      <c r="O12" s="55">
        <f>workingcap!O22</f>
        <v>-17.754048677086644</v>
      </c>
      <c r="P12" s="55">
        <f>workingcap!P22</f>
        <v>-19.883122511985448</v>
      </c>
    </row>
    <row r="13" spans="1:16" ht="12.75">
      <c r="B13" s="6"/>
      <c r="C13" s="6" t="s">
        <v>119</v>
      </c>
      <c r="D13" s="6"/>
      <c r="E13" s="6"/>
      <c r="F13" s="6"/>
      <c r="G13" s="6"/>
      <c r="H13" s="6"/>
      <c r="L13" s="55">
        <f>other!L19</f>
        <v>0</v>
      </c>
      <c r="M13" s="55">
        <f>other!M19</f>
        <v>0</v>
      </c>
      <c r="N13" s="55">
        <f>other!N19</f>
        <v>0</v>
      </c>
      <c r="O13" s="55">
        <f>other!O19</f>
        <v>0</v>
      </c>
      <c r="P13" s="55">
        <f>other!P19</f>
        <v>0</v>
      </c>
    </row>
    <row r="14" spans="1:16" ht="12.75">
      <c r="A14" s="642" t="s">
        <v>43</v>
      </c>
      <c r="D14" t="s">
        <v>220</v>
      </c>
      <c r="L14" s="316">
        <f ca="1">SUM(L7:L13)</f>
        <v>554.37418378394023</v>
      </c>
      <c r="M14" s="316">
        <f t="shared" ref="M14:P14" ca="1" si="0">SUM(M7:M13)</f>
        <v>590.1718801602492</v>
      </c>
      <c r="N14" s="316">
        <f t="shared" ca="1" si="0"/>
        <v>632.07477403205087</v>
      </c>
      <c r="O14" s="316">
        <f t="shared" ca="1" si="0"/>
        <v>679.0871737338075</v>
      </c>
      <c r="P14" s="316">
        <f t="shared" ca="1" si="0"/>
        <v>730.40705207198027</v>
      </c>
    </row>
    <row r="16" spans="1:16" ht="12.75">
      <c r="B16" s="4" t="s">
        <v>112</v>
      </c>
    </row>
    <row r="17" spans="1:16" ht="12.75">
      <c r="C17" s="16" t="s">
        <v>48</v>
      </c>
      <c r="L17" s="25">
        <f>-dep!L8</f>
        <v>-125</v>
      </c>
      <c r="M17" s="25">
        <f>-dep!M8</f>
        <v>-125.23656454399998</v>
      </c>
      <c r="N17" s="25">
        <f>-dep!N8</f>
        <v>-130.99744651302399</v>
      </c>
      <c r="O17" s="25">
        <f>-dep!O8</f>
        <v>-137.41632139216216</v>
      </c>
      <c r="P17" s="25">
        <f>-dep!P8</f>
        <v>-144.5619701045546</v>
      </c>
    </row>
    <row r="18" spans="1:16" ht="12.75">
      <c r="C18" s="17" t="s">
        <v>39</v>
      </c>
      <c r="K18" s="28"/>
      <c r="L18" s="55">
        <f>-amort!L8</f>
        <v>-5</v>
      </c>
      <c r="M18" s="55">
        <f>-amort!M8</f>
        <v>-5</v>
      </c>
      <c r="N18" s="55">
        <f>-amort!N8</f>
        <v>-5</v>
      </c>
      <c r="O18" s="55">
        <f>-amort!O8</f>
        <v>-5</v>
      </c>
      <c r="P18" s="55">
        <f>-amort!P8</f>
        <v>-5</v>
      </c>
    </row>
    <row r="19" spans="1:16" ht="12.75">
      <c r="A19" s="642" t="s">
        <v>43</v>
      </c>
      <c r="D19" t="s">
        <v>221</v>
      </c>
      <c r="L19" s="316">
        <f>SUM(L17:L18)</f>
        <v>-130</v>
      </c>
      <c r="M19" s="316">
        <f>SUM(M17:M18)</f>
        <v>-130.23656454399998</v>
      </c>
      <c r="N19" s="316">
        <f>SUM(N17:N18)</f>
        <v>-135.99744651302399</v>
      </c>
      <c r="O19" s="316">
        <f>SUM(O17:O18)</f>
        <v>-142.41632139216216</v>
      </c>
      <c r="P19" s="316">
        <f>SUM(P17:P18)</f>
        <v>-149.5619701045546</v>
      </c>
    </row>
    <row r="21" spans="1:16" ht="12.75">
      <c r="B21" s="22" t="s">
        <v>125</v>
      </c>
      <c r="C21" s="22"/>
      <c r="D21" s="22"/>
      <c r="E21" s="22"/>
      <c r="F21" s="22"/>
      <c r="G21" s="22"/>
      <c r="H21" s="22"/>
      <c r="I21" s="22"/>
      <c r="J21" s="22"/>
      <c r="K21" s="22"/>
      <c r="L21" s="404">
        <f t="shared" ref="L21:P21" ca="1" si="1">L14+L19</f>
        <v>424.37418378394023</v>
      </c>
      <c r="M21" s="404">
        <f t="shared" ca="1" si="1"/>
        <v>459.93531561624923</v>
      </c>
      <c r="N21" s="404">
        <f t="shared" ca="1" si="1"/>
        <v>496.07732751902688</v>
      </c>
      <c r="O21" s="404">
        <f t="shared" ca="1" si="1"/>
        <v>536.67085234164529</v>
      </c>
      <c r="P21" s="404">
        <f t="shared" ca="1" si="1"/>
        <v>580.8450819674257</v>
      </c>
    </row>
    <row r="23" spans="1:16" ht="12.75">
      <c r="B23" s="4" t="s">
        <v>113</v>
      </c>
    </row>
    <row r="24" spans="1:16" ht="12.75">
      <c r="C24" t="s">
        <v>10</v>
      </c>
      <c r="L24" s="25">
        <f ca="1">debt_interest!L20</f>
        <v>-146.93399406273625</v>
      </c>
      <c r="M24" s="25">
        <f ca="1">debt_interest!M20</f>
        <v>54.850352181569008</v>
      </c>
      <c r="N24" s="25">
        <f ca="1">debt_interest!N20</f>
        <v>-119.51635811883276</v>
      </c>
      <c r="O24" s="25">
        <f ca="1">debt_interest!O20</f>
        <v>34.571528513766538</v>
      </c>
      <c r="P24" s="25">
        <f ca="1">debt_interest!P20</f>
        <v>-34.571528513766538</v>
      </c>
    </row>
    <row r="25" spans="1:16" ht="12.75">
      <c r="C25" t="s">
        <v>77</v>
      </c>
      <c r="D25" s="52"/>
      <c r="E25" s="52"/>
      <c r="F25" s="52"/>
      <c r="G25" s="52"/>
      <c r="H25" s="52"/>
      <c r="I25" s="6"/>
      <c r="J25" s="6"/>
      <c r="K25" s="6"/>
      <c r="L25" s="530">
        <f>debt_interest!L25</f>
        <v>0</v>
      </c>
      <c r="M25" s="530">
        <f>debt_interest!M25</f>
        <v>0</v>
      </c>
      <c r="N25" s="530">
        <f>debt_interest!N25</f>
        <v>0</v>
      </c>
      <c r="O25" s="530">
        <f>debt_interest!O25</f>
        <v>0</v>
      </c>
      <c r="P25" s="530">
        <f>debt_interest!P25</f>
        <v>0</v>
      </c>
    </row>
    <row r="26" spans="1:16" ht="12.75">
      <c r="C26" t="s">
        <v>78</v>
      </c>
      <c r="D26" s="52"/>
      <c r="E26" s="52"/>
      <c r="F26" s="52"/>
      <c r="G26" s="52"/>
      <c r="H26" s="52"/>
      <c r="I26" s="6"/>
      <c r="J26" s="6"/>
      <c r="K26" s="6"/>
      <c r="L26" s="536">
        <f>debt_interest!L26</f>
        <v>-2.5</v>
      </c>
      <c r="M26" s="536">
        <f>debt_interest!M26</f>
        <v>-201.5</v>
      </c>
      <c r="N26" s="536">
        <f>debt_interest!N26</f>
        <v>-0.8</v>
      </c>
      <c r="O26" s="536">
        <f>debt_interest!O26</f>
        <v>-250.9</v>
      </c>
      <c r="P26" s="536">
        <f>debt_interest!P26</f>
        <v>-1</v>
      </c>
    </row>
    <row r="27" spans="1:16" ht="12.75">
      <c r="B27" s="6"/>
      <c r="C27" s="6" t="s">
        <v>79</v>
      </c>
      <c r="D27" s="6"/>
      <c r="E27" s="6"/>
      <c r="F27" s="6"/>
      <c r="G27" s="6"/>
      <c r="H27" s="6"/>
      <c r="I27" s="6"/>
      <c r="J27" s="6"/>
      <c r="K27" s="6"/>
      <c r="L27" s="25">
        <f ca="1">equity!L10</f>
        <v>-159.6384469977186</v>
      </c>
      <c r="M27" s="25">
        <f ca="1">equity!M10</f>
        <v>-174.07894489397879</v>
      </c>
      <c r="N27" s="25">
        <f ca="1">equity!N10</f>
        <v>-187.63127794935485</v>
      </c>
      <c r="O27" s="25">
        <f ca="1">equity!O10</f>
        <v>-202.88649033006658</v>
      </c>
      <c r="P27" s="25">
        <f ca="1">equity!P10</f>
        <v>-219.53583547095334</v>
      </c>
    </row>
    <row r="28" spans="1:16" ht="12.75">
      <c r="B28" s="6"/>
      <c r="C28" s="23" t="s">
        <v>8</v>
      </c>
      <c r="D28" s="6"/>
      <c r="E28" s="6"/>
      <c r="F28" s="6"/>
      <c r="G28" s="6"/>
      <c r="H28" s="6"/>
      <c r="I28" s="6"/>
      <c r="J28" s="6"/>
      <c r="K28" s="6"/>
      <c r="L28" s="25">
        <f ca="1">equity!L11</f>
        <v>-199.8967427234854</v>
      </c>
      <c r="M28" s="25">
        <f ca="1">equity!M11</f>
        <v>-210.80172290383942</v>
      </c>
      <c r="N28" s="25">
        <f ca="1">equity!N11</f>
        <v>-219.55762867217527</v>
      </c>
      <c r="O28" s="25">
        <f ca="1">equity!O11</f>
        <v>-229.21795330400923</v>
      </c>
      <c r="P28" s="25">
        <f ca="1">equity!P11</f>
        <v>-239.25962820072323</v>
      </c>
    </row>
    <row r="29" spans="1:16" ht="12.75">
      <c r="B29" s="6"/>
      <c r="C29" s="6" t="s">
        <v>53</v>
      </c>
      <c r="D29" s="6"/>
      <c r="E29" s="6"/>
      <c r="F29" s="6"/>
      <c r="G29" s="6"/>
      <c r="H29" s="6"/>
      <c r="I29" s="6"/>
      <c r="J29" s="6"/>
      <c r="K29" s="6"/>
      <c r="L29" s="25">
        <f>equity!L12</f>
        <v>71.594999999999999</v>
      </c>
      <c r="M29" s="25">
        <f>equity!M12</f>
        <v>71.594999999999999</v>
      </c>
      <c r="N29" s="25">
        <f>equity!N12</f>
        <v>71.594999999999999</v>
      </c>
      <c r="O29" s="25">
        <f>equity!O12</f>
        <v>71.594999999999999</v>
      </c>
      <c r="P29" s="25">
        <f>equity!P12</f>
        <v>71.594999999999999</v>
      </c>
    </row>
    <row r="30" spans="1:16" ht="12.75">
      <c r="A30" s="642" t="s">
        <v>43</v>
      </c>
      <c r="D30" t="s">
        <v>222</v>
      </c>
      <c r="L30" s="316">
        <f ca="1">SUM(L24:L29)</f>
        <v>-437.37418378394023</v>
      </c>
      <c r="M30" s="316">
        <f ca="1">SUM(M24:M29)</f>
        <v>-459.93531561624911</v>
      </c>
      <c r="N30" s="316">
        <f ca="1">SUM(N24:N29)</f>
        <v>-455.91026474036289</v>
      </c>
      <c r="O30" s="316">
        <f ca="1">SUM(O24:O29)</f>
        <v>-576.83791512030928</v>
      </c>
      <c r="P30" s="316">
        <f ca="1">SUM(P24:P29)</f>
        <v>-422.77199218544308</v>
      </c>
    </row>
    <row r="32" spans="1:16" ht="12.75">
      <c r="B32" t="s">
        <v>114</v>
      </c>
      <c r="G32" s="396"/>
      <c r="H32" s="395"/>
      <c r="I32" s="395"/>
      <c r="J32" s="395"/>
      <c r="K32" s="395"/>
      <c r="L32" s="23">
        <f ca="1">L21+L30</f>
        <v>-13</v>
      </c>
      <c r="M32" s="23">
        <f t="shared" ref="M32:P32" ca="1" si="2">M21+M30</f>
        <v>0</v>
      </c>
      <c r="N32" s="23">
        <f t="shared" ca="1" si="2"/>
        <v>40.16706277866399</v>
      </c>
      <c r="O32" s="23">
        <f t="shared" ca="1" si="2"/>
        <v>-40.16706277866399</v>
      </c>
      <c r="P32" s="23">
        <f t="shared" ca="1" si="2"/>
        <v>158.07308978198262</v>
      </c>
    </row>
    <row r="33" spans="1:16" ht="12.75">
      <c r="C33" t="s">
        <v>54</v>
      </c>
      <c r="G33" s="395"/>
      <c r="H33" s="395"/>
      <c r="I33" s="395"/>
      <c r="J33" s="395"/>
      <c r="K33" s="395"/>
      <c r="L33" s="25">
        <f>bs!K7</f>
        <v>63</v>
      </c>
      <c r="M33" s="25">
        <f ca="1">bs!L7</f>
        <v>50</v>
      </c>
      <c r="N33" s="25">
        <f ca="1">bs!M7</f>
        <v>50</v>
      </c>
      <c r="O33" s="25">
        <f ca="1">bs!N7</f>
        <v>90.16706277866399</v>
      </c>
      <c r="P33" s="25">
        <f ca="1">bs!O7</f>
        <v>50</v>
      </c>
    </row>
    <row r="34" spans="1:16" ht="12.75">
      <c r="A34" s="642" t="s">
        <v>43</v>
      </c>
      <c r="C34" t="s">
        <v>55</v>
      </c>
      <c r="G34" s="395"/>
      <c r="H34" s="395"/>
      <c r="I34" s="395"/>
      <c r="J34" s="395"/>
      <c r="K34" s="395"/>
      <c r="L34" s="261">
        <f ca="1">SUM(L32:L33)</f>
        <v>50</v>
      </c>
      <c r="M34" s="261">
        <f t="shared" ref="M34:P34" ca="1" si="3">SUM(M32:M33)</f>
        <v>50</v>
      </c>
      <c r="N34" s="261">
        <f t="shared" ca="1" si="3"/>
        <v>90.16706277866399</v>
      </c>
      <c r="O34" s="261">
        <f t="shared" ca="1" si="3"/>
        <v>50</v>
      </c>
      <c r="P34" s="261">
        <f t="shared" ca="1" si="3"/>
        <v>208.07308978198262</v>
      </c>
    </row>
    <row r="35" spans="1:16" ht="12.75">
      <c r="G35" s="395"/>
      <c r="H35" s="395"/>
      <c r="I35" s="395"/>
      <c r="J35" s="395"/>
      <c r="K35" s="395"/>
      <c r="L35" s="111"/>
      <c r="M35" s="111"/>
      <c r="N35" s="111"/>
      <c r="O35" s="111"/>
      <c r="P35" s="111"/>
    </row>
    <row r="36" spans="1:16" ht="12.75">
      <c r="G36" s="395"/>
      <c r="H36" s="395"/>
      <c r="I36" s="395"/>
      <c r="J36" s="395"/>
      <c r="K36" s="395"/>
      <c r="L36" s="112"/>
      <c r="M36" s="112"/>
      <c r="N36" s="112"/>
      <c r="O36" s="9"/>
      <c r="P36" s="9"/>
    </row>
    <row r="37" spans="1:16" ht="12.75">
      <c r="A37" s="642" t="s">
        <v>43</v>
      </c>
      <c r="B37" s="69" t="s">
        <v>49</v>
      </c>
      <c r="L37" s="112"/>
      <c r="M37" s="112"/>
      <c r="N37" s="136"/>
      <c r="O37" s="136"/>
      <c r="P37" s="136"/>
    </row>
  </sheetData>
  <phoneticPr fontId="17" type="noConversion"/>
  <pageMargins left="0.5" right="0.5" top="0.5" bottom="0.65" header="0.25" footer="0.25"/>
  <pageSetup scale="97" orientation="landscape" r:id="rId1"/>
  <headerFooter alignWithMargins="0">
    <oddFooter>&amp;C&amp;8&amp;G&amp;R&amp;8For training purposes only!&amp;L&amp;8COPYRIGHT 2017 © by Training The Street, Inc</oddFooter>
  </headerFooter>
  <legacyDrawingHF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R31"/>
  <sheetViews>
    <sheetView showGridLines="0" zoomScaleSheetLayoutView="100" workbookViewId="0"/>
  </sheetViews>
  <sheetFormatPr defaultColWidth="8.85546875" defaultRowHeight="13.15" customHeight="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7" width="9.140625" customWidth="1"/>
    <col min="18" max="18" width="11.85546875" bestFit="1" customWidth="1"/>
    <col min="20" max="20" width="9.140625" customWidth="1"/>
  </cols>
  <sheetData>
    <row r="1" spans="1:16" ht="18.75" thickBot="1">
      <c r="B1" s="1" t="str">
        <f>"Working Capital Schedule for "&amp;name</f>
        <v>Working Capital Schedule for McCormick &amp; Co. Inc.</v>
      </c>
    </row>
    <row r="2" spans="1:16" ht="12.75">
      <c r="B2" s="2" t="str">
        <f>Subheader</f>
        <v>Dollars in millions, except per share data</v>
      </c>
      <c r="C2" s="3"/>
      <c r="D2" s="3"/>
      <c r="E2" s="3"/>
      <c r="F2" s="3"/>
      <c r="G2" s="3"/>
      <c r="H2" s="3"/>
      <c r="I2" s="3"/>
      <c r="J2" s="3"/>
      <c r="K2" s="3"/>
      <c r="L2" s="3"/>
      <c r="M2" s="3"/>
      <c r="N2" s="3"/>
      <c r="O2" s="3"/>
      <c r="P2" s="3"/>
    </row>
    <row r="4" spans="1:16" ht="12.75">
      <c r="I4" s="18" t="str">
        <f>is!I$4</f>
        <v>Historical Year Ending November 30,</v>
      </c>
      <c r="J4" s="18"/>
      <c r="K4" s="104"/>
      <c r="L4" s="104" t="str">
        <f>is!L$4</f>
        <v>Projected Year Ending November 30,</v>
      </c>
      <c r="M4" s="18"/>
      <c r="N4" s="18"/>
      <c r="O4" s="18"/>
      <c r="P4" s="18"/>
    </row>
    <row r="5" spans="1:16" ht="12.75">
      <c r="I5" s="434">
        <f>is!I$5</f>
        <v>2011</v>
      </c>
      <c r="J5" s="434">
        <f>is!J$5</f>
        <v>2012</v>
      </c>
      <c r="K5" s="232">
        <f>is!K$5</f>
        <v>2013</v>
      </c>
      <c r="L5" s="590">
        <f>is!L$5</f>
        <v>2014</v>
      </c>
      <c r="M5" s="434">
        <f>is!M$5</f>
        <v>2015</v>
      </c>
      <c r="N5" s="434">
        <f>is!N$5</f>
        <v>2016</v>
      </c>
      <c r="O5" s="434">
        <f>is!O$5</f>
        <v>2017</v>
      </c>
      <c r="P5" s="434">
        <f>is!P$5</f>
        <v>2018</v>
      </c>
    </row>
    <row r="6" spans="1:16" ht="12.75">
      <c r="I6" s="141"/>
      <c r="J6" s="12"/>
      <c r="K6" s="604"/>
      <c r="L6" s="141"/>
      <c r="M6" s="141"/>
      <c r="N6" s="141"/>
      <c r="O6" s="141"/>
      <c r="P6" s="141"/>
    </row>
    <row r="7" spans="1:16" ht="12.75">
      <c r="B7" s="79" t="s">
        <v>83</v>
      </c>
      <c r="C7" s="5"/>
      <c r="D7" s="5"/>
      <c r="E7" s="5"/>
      <c r="F7" s="5"/>
      <c r="G7" s="5"/>
      <c r="H7" s="5"/>
      <c r="I7" s="26">
        <f>is!I7</f>
        <v>3697.6</v>
      </c>
      <c r="J7" s="26">
        <f>is!J7</f>
        <v>4014.2</v>
      </c>
      <c r="K7" s="95">
        <f>is!K7</f>
        <v>4123.3999999999996</v>
      </c>
      <c r="L7" s="26">
        <f>is!L7</f>
        <v>4288.3359999999993</v>
      </c>
      <c r="M7" s="26">
        <f>is!M7</f>
        <v>4472.7344479999992</v>
      </c>
      <c r="N7" s="26">
        <f>is!N7</f>
        <v>4678.4802326079998</v>
      </c>
      <c r="O7" s="26">
        <f>is!O7</f>
        <v>4907.7257640057915</v>
      </c>
      <c r="P7" s="26">
        <f>is!P7</f>
        <v>5162.9275037340931</v>
      </c>
    </row>
    <row r="8" spans="1:16" ht="12.75">
      <c r="B8" s="113" t="s">
        <v>219</v>
      </c>
      <c r="C8" s="6"/>
      <c r="D8" s="6"/>
      <c r="E8" s="6"/>
      <c r="F8" s="6"/>
      <c r="G8" s="6"/>
      <c r="H8" s="6"/>
      <c r="I8" s="101">
        <f>is!I8</f>
        <v>2080.1</v>
      </c>
      <c r="J8" s="101">
        <f>is!J8</f>
        <v>2297.9</v>
      </c>
      <c r="K8" s="105">
        <f>is!K8</f>
        <v>2356.7999999999997</v>
      </c>
      <c r="L8" s="101">
        <f>is!L8</f>
        <v>2431.4865119999995</v>
      </c>
      <c r="M8" s="101">
        <f>is!M8</f>
        <v>2527.0949631199992</v>
      </c>
      <c r="N8" s="101">
        <f>is!N8</f>
        <v>2633.9843709583038</v>
      </c>
      <c r="O8" s="101">
        <f>is!O8</f>
        <v>2753.2341536072486</v>
      </c>
      <c r="P8" s="101">
        <f>is!P8</f>
        <v>2886.0764745873576</v>
      </c>
    </row>
    <row r="9" spans="1:16" ht="13.15" customHeight="1">
      <c r="I9" s="141"/>
      <c r="J9" s="141"/>
      <c r="K9" s="140"/>
      <c r="L9" s="141"/>
      <c r="M9" s="141"/>
      <c r="N9" s="141"/>
      <c r="O9" s="141"/>
      <c r="P9" s="141"/>
    </row>
    <row r="10" spans="1:16" ht="12.75">
      <c r="B10" s="4" t="s">
        <v>115</v>
      </c>
      <c r="I10" s="141"/>
      <c r="J10" s="141"/>
      <c r="K10" s="140"/>
      <c r="L10" s="141"/>
      <c r="M10" s="141"/>
      <c r="N10" s="141"/>
      <c r="O10" s="141"/>
      <c r="P10" s="141"/>
    </row>
    <row r="11" spans="1:16" ht="12.75">
      <c r="A11" s="642" t="s">
        <v>43</v>
      </c>
      <c r="B11" s="5"/>
      <c r="C11" s="24" t="str">
        <f>bs!B8</f>
        <v>Accounts receivable, net</v>
      </c>
      <c r="D11" s="5"/>
      <c r="E11" s="5"/>
      <c r="F11" s="5"/>
      <c r="G11" s="5"/>
      <c r="I11" s="26">
        <f>bs!I8</f>
        <v>427</v>
      </c>
      <c r="J11" s="26">
        <f>bs!J8</f>
        <v>465.9</v>
      </c>
      <c r="K11" s="95">
        <f>bs!K8</f>
        <v>495.5</v>
      </c>
      <c r="L11" s="224">
        <f t="shared" ref="L11:P12" si="0">L7*L26/days</f>
        <v>511.07566027397257</v>
      </c>
      <c r="M11" s="224">
        <f t="shared" si="0"/>
        <v>533.05191366575332</v>
      </c>
      <c r="N11" s="224">
        <f t="shared" si="0"/>
        <v>557.5723016943781</v>
      </c>
      <c r="O11" s="224">
        <f t="shared" si="0"/>
        <v>584.89334447740259</v>
      </c>
      <c r="P11" s="224">
        <f t="shared" si="0"/>
        <v>615.3077983902275</v>
      </c>
    </row>
    <row r="12" spans="1:16" ht="12.75">
      <c r="B12" s="6"/>
      <c r="C12" s="24" t="str">
        <f>bs!B9</f>
        <v>Inventories</v>
      </c>
      <c r="D12" s="6"/>
      <c r="E12" s="6"/>
      <c r="F12" s="6"/>
      <c r="G12" s="6"/>
      <c r="I12" s="101">
        <f>bs!I9</f>
        <v>613.70000000000005</v>
      </c>
      <c r="J12" s="101">
        <f>bs!J9</f>
        <v>615</v>
      </c>
      <c r="K12" s="105">
        <f>bs!K9</f>
        <v>676.9</v>
      </c>
      <c r="L12" s="252">
        <f t="shared" si="0"/>
        <v>679.48390198356151</v>
      </c>
      <c r="M12" s="252">
        <f t="shared" si="0"/>
        <v>699.2783322606025</v>
      </c>
      <c r="N12" s="252">
        <f t="shared" si="0"/>
        <v>721.63955368720656</v>
      </c>
      <c r="O12" s="252">
        <f t="shared" si="0"/>
        <v>746.76761974552778</v>
      </c>
      <c r="P12" s="252">
        <f t="shared" si="0"/>
        <v>774.89176577961928</v>
      </c>
    </row>
    <row r="13" spans="1:16" ht="12.75">
      <c r="B13" s="6"/>
      <c r="C13" s="24" t="str">
        <f>bs!B10</f>
        <v>Other current assets</v>
      </c>
      <c r="D13" s="6"/>
      <c r="E13" s="6"/>
      <c r="F13" s="6"/>
      <c r="G13" s="6"/>
      <c r="I13" s="101">
        <f>bs!I10</f>
        <v>128.30000000000001</v>
      </c>
      <c r="J13" s="101">
        <f>bs!J10</f>
        <v>125.5</v>
      </c>
      <c r="K13" s="105">
        <f>bs!K10</f>
        <v>134.80000000000001</v>
      </c>
      <c r="L13" s="173">
        <f>L7*L28</f>
        <v>141.51508799999999</v>
      </c>
      <c r="M13" s="173">
        <f t="shared" ref="M13:P13" si="1">M7*M28</f>
        <v>147.60023678399997</v>
      </c>
      <c r="N13" s="173">
        <f t="shared" si="1"/>
        <v>154.38984767606399</v>
      </c>
      <c r="O13" s="173">
        <f t="shared" si="1"/>
        <v>161.95495021219114</v>
      </c>
      <c r="P13" s="173">
        <f t="shared" si="1"/>
        <v>170.37660762322508</v>
      </c>
    </row>
    <row r="14" spans="1:16" ht="12.75">
      <c r="D14" t="s">
        <v>116</v>
      </c>
      <c r="I14" s="223">
        <f>SUM(I11:I13)</f>
        <v>1169</v>
      </c>
      <c r="J14" s="223">
        <f>SUM(J11:J13)</f>
        <v>1206.4000000000001</v>
      </c>
      <c r="K14" s="462">
        <f>SUM(K11:K13)</f>
        <v>1307.2</v>
      </c>
      <c r="L14" s="223">
        <f t="shared" ref="L14:P14" si="2">SUM(L11:L13)</f>
        <v>1332.0746502575339</v>
      </c>
      <c r="M14" s="223">
        <f t="shared" si="2"/>
        <v>1379.9304827103558</v>
      </c>
      <c r="N14" s="223">
        <f t="shared" si="2"/>
        <v>1433.6017030576486</v>
      </c>
      <c r="O14" s="223">
        <f t="shared" si="2"/>
        <v>1493.6159144351216</v>
      </c>
      <c r="P14" s="223">
        <f t="shared" si="2"/>
        <v>1560.5761717930718</v>
      </c>
    </row>
    <row r="15" spans="1:16" ht="13.15" customHeight="1">
      <c r="I15" s="141"/>
      <c r="J15" s="141"/>
      <c r="K15" s="140"/>
      <c r="L15" s="141"/>
      <c r="M15" s="141"/>
      <c r="N15" s="141"/>
      <c r="O15" s="141"/>
      <c r="P15" s="141"/>
    </row>
    <row r="16" spans="1:16" ht="12.75">
      <c r="A16" s="642" t="s">
        <v>43</v>
      </c>
      <c r="C16" s="24" t="str">
        <f>bs!B21</f>
        <v>Accounts payable</v>
      </c>
      <c r="I16" s="26">
        <f>bs!I21</f>
        <v>366.6</v>
      </c>
      <c r="J16" s="26">
        <f>bs!J21</f>
        <v>375.8</v>
      </c>
      <c r="K16" s="95">
        <f>bs!K21</f>
        <v>387.3</v>
      </c>
      <c r="L16" s="224">
        <f>L8*L30/days</f>
        <v>399.6964129315067</v>
      </c>
      <c r="M16" s="224">
        <f>M8*M30/days</f>
        <v>415.4128706498629</v>
      </c>
      <c r="N16" s="224">
        <f>N8*N30/days</f>
        <v>432.98373221232384</v>
      </c>
      <c r="O16" s="224">
        <f>O8*O30/days</f>
        <v>452.58643620941069</v>
      </c>
      <c r="P16" s="224">
        <f>P8*P30/days</f>
        <v>474.42353006915465</v>
      </c>
    </row>
    <row r="17" spans="1:18" ht="12.75">
      <c r="C17" s="24" t="str">
        <f>bs!B22</f>
        <v>Other current liabilities</v>
      </c>
      <c r="I17" s="101">
        <f>bs!I22</f>
        <v>404.3</v>
      </c>
      <c r="J17" s="101">
        <f>bs!J22</f>
        <v>419.2</v>
      </c>
      <c r="K17" s="105">
        <f>bs!K22</f>
        <v>461.7</v>
      </c>
      <c r="L17" s="173">
        <f t="shared" ref="L17:P17" si="3">L31*L8</f>
        <v>461.98243727999989</v>
      </c>
      <c r="M17" s="173">
        <f t="shared" si="3"/>
        <v>480.14804299279984</v>
      </c>
      <c r="N17" s="173">
        <f t="shared" si="3"/>
        <v>500.4570304820777</v>
      </c>
      <c r="O17" s="173">
        <f t="shared" si="3"/>
        <v>523.11448918537724</v>
      </c>
      <c r="P17" s="173">
        <f t="shared" si="3"/>
        <v>548.35453017159796</v>
      </c>
    </row>
    <row r="18" spans="1:18" ht="12.75">
      <c r="D18" t="s">
        <v>120</v>
      </c>
      <c r="I18" s="223">
        <f>SUM(I16:I17)</f>
        <v>770.90000000000009</v>
      </c>
      <c r="J18" s="223">
        <f>SUM(J16:J17)</f>
        <v>795</v>
      </c>
      <c r="K18" s="462">
        <f>SUM(K16:K17)</f>
        <v>849</v>
      </c>
      <c r="L18" s="223">
        <f t="shared" ref="L18:P18" si="4">SUM(L16:L17)</f>
        <v>861.67885021150664</v>
      </c>
      <c r="M18" s="223">
        <f t="shared" si="4"/>
        <v>895.56091364266274</v>
      </c>
      <c r="N18" s="223">
        <f t="shared" si="4"/>
        <v>933.44076269440154</v>
      </c>
      <c r="O18" s="223">
        <f t="shared" si="4"/>
        <v>975.70092539478787</v>
      </c>
      <c r="P18" s="223">
        <f t="shared" si="4"/>
        <v>1022.7780602407527</v>
      </c>
    </row>
    <row r="19" spans="1:18" ht="13.15" customHeight="1">
      <c r="I19" s="224"/>
      <c r="J19" s="224"/>
      <c r="K19" s="605"/>
      <c r="L19" s="141"/>
      <c r="M19" s="141"/>
      <c r="N19" s="141"/>
      <c r="O19" s="141"/>
      <c r="P19" s="141"/>
    </row>
    <row r="20" spans="1:18" ht="12.75">
      <c r="B20" t="s">
        <v>139</v>
      </c>
      <c r="I20" s="224">
        <f t="shared" ref="I20:K20" si="5">I14-I18</f>
        <v>398.09999999999991</v>
      </c>
      <c r="J20" s="224">
        <f t="shared" si="5"/>
        <v>411.40000000000009</v>
      </c>
      <c r="K20" s="605">
        <f t="shared" si="5"/>
        <v>458.20000000000005</v>
      </c>
      <c r="L20" s="224">
        <f t="shared" ref="L20:P20" si="6">L14-L18</f>
        <v>470.39580004602726</v>
      </c>
      <c r="M20" s="224">
        <f t="shared" si="6"/>
        <v>484.36956906769308</v>
      </c>
      <c r="N20" s="224">
        <f t="shared" si="6"/>
        <v>500.16094036324705</v>
      </c>
      <c r="O20" s="224">
        <f t="shared" si="6"/>
        <v>517.91498904033369</v>
      </c>
      <c r="P20" s="224">
        <f t="shared" si="6"/>
        <v>537.79811155231914</v>
      </c>
    </row>
    <row r="21" spans="1:18" ht="13.15" customHeight="1">
      <c r="I21" s="224"/>
      <c r="J21" s="224"/>
      <c r="K21" s="605"/>
      <c r="L21" s="224"/>
      <c r="M21" s="224"/>
      <c r="N21" s="224"/>
      <c r="O21" s="224"/>
      <c r="P21" s="224"/>
    </row>
    <row r="22" spans="1:18" ht="12.75">
      <c r="A22" s="642" t="s">
        <v>43</v>
      </c>
      <c r="B22" s="30" t="s">
        <v>213</v>
      </c>
      <c r="C22" s="30"/>
      <c r="D22" s="30"/>
      <c r="E22" s="30"/>
      <c r="F22" s="30"/>
      <c r="G22" s="30"/>
      <c r="H22" s="30"/>
      <c r="I22" s="100"/>
      <c r="J22" s="190">
        <f>I20-J20</f>
        <v>-13.300000000000182</v>
      </c>
      <c r="K22" s="606">
        <f>J20-K20</f>
        <v>-46.799999999999955</v>
      </c>
      <c r="L22" s="190">
        <f t="shared" ref="L22:P22" si="7">K20-L20</f>
        <v>-12.195800046027216</v>
      </c>
      <c r="M22" s="190">
        <f t="shared" si="7"/>
        <v>-13.973769021665817</v>
      </c>
      <c r="N22" s="190">
        <f t="shared" si="7"/>
        <v>-15.791371295553972</v>
      </c>
      <c r="O22" s="190">
        <f t="shared" si="7"/>
        <v>-17.754048677086644</v>
      </c>
      <c r="P22" s="190">
        <f t="shared" si="7"/>
        <v>-19.883122511985448</v>
      </c>
    </row>
    <row r="23" spans="1:18" ht="13.15" customHeight="1">
      <c r="I23" s="145"/>
      <c r="J23" s="299"/>
      <c r="K23" s="607"/>
      <c r="L23" s="206"/>
      <c r="M23" s="27"/>
      <c r="N23" s="27"/>
      <c r="O23" s="27"/>
      <c r="P23" s="27"/>
    </row>
    <row r="24" spans="1:18" ht="12.75">
      <c r="B24" s="4" t="s">
        <v>121</v>
      </c>
      <c r="I24" s="27"/>
      <c r="J24" s="27"/>
      <c r="K24" s="257"/>
      <c r="L24" s="298"/>
      <c r="M24" s="27"/>
      <c r="N24" s="27"/>
      <c r="O24" s="27"/>
      <c r="P24" s="27"/>
      <c r="R24" s="557"/>
    </row>
    <row r="25" spans="1:18" ht="12.75">
      <c r="A25" s="642" t="s">
        <v>43</v>
      </c>
      <c r="B25" s="4"/>
      <c r="C25" s="16" t="s">
        <v>233</v>
      </c>
      <c r="G25" s="515">
        <v>365</v>
      </c>
      <c r="I25" s="27"/>
      <c r="J25" s="27"/>
      <c r="K25" s="257"/>
      <c r="L25" s="298"/>
      <c r="M25" s="27"/>
      <c r="N25" s="27"/>
      <c r="O25" s="27"/>
      <c r="P25" s="27"/>
      <c r="R25" s="58" t="s">
        <v>94</v>
      </c>
    </row>
    <row r="26" spans="1:18" ht="12.75">
      <c r="C26" t="str">
        <f>C11&amp;" (collection period in days)"</f>
        <v>Accounts receivable, net (collection period in days)</v>
      </c>
      <c r="I26" s="21">
        <f t="shared" ref="I26:K27" si="8">I11/I7*days</f>
        <v>42.150313717005623</v>
      </c>
      <c r="J26" s="21">
        <f t="shared" si="8"/>
        <v>42.362986398286083</v>
      </c>
      <c r="K26" s="608">
        <f t="shared" si="8"/>
        <v>43.861255274773249</v>
      </c>
      <c r="L26" s="20">
        <v>43.5</v>
      </c>
      <c r="M26" s="252">
        <f>L26+$R26</f>
        <v>43.5</v>
      </c>
      <c r="N26" s="252">
        <f t="shared" ref="N26:P26" si="9">M26+$R26</f>
        <v>43.5</v>
      </c>
      <c r="O26" s="252">
        <f t="shared" si="9"/>
        <v>43.5</v>
      </c>
      <c r="P26" s="252">
        <f t="shared" si="9"/>
        <v>43.5</v>
      </c>
      <c r="R26" s="51">
        <v>0</v>
      </c>
    </row>
    <row r="27" spans="1:18" ht="12.75">
      <c r="C27" t="str">
        <f>C12&amp;" (days outstanding)"</f>
        <v>Inventories (days outstanding)</v>
      </c>
      <c r="I27" s="21">
        <f t="shared" si="8"/>
        <v>107.68737079948082</v>
      </c>
      <c r="J27" s="21">
        <f t="shared" si="8"/>
        <v>97.687018582183725</v>
      </c>
      <c r="K27" s="608">
        <f t="shared" si="8"/>
        <v>104.83218771215206</v>
      </c>
      <c r="L27" s="20">
        <v>102</v>
      </c>
      <c r="M27" s="252">
        <f t="shared" ref="M27:P27" si="10">L27+$R27</f>
        <v>101</v>
      </c>
      <c r="N27" s="252">
        <f t="shared" si="10"/>
        <v>100</v>
      </c>
      <c r="O27" s="252">
        <f t="shared" si="10"/>
        <v>99</v>
      </c>
      <c r="P27" s="252">
        <f t="shared" si="10"/>
        <v>98</v>
      </c>
      <c r="R27" s="51">
        <v>-1</v>
      </c>
    </row>
    <row r="28" spans="1:18" ht="12.75">
      <c r="C28" t="str">
        <f>C13&amp;" (as % of sales)"</f>
        <v>Other current assets (as % of sales)</v>
      </c>
      <c r="I28" s="526">
        <f t="shared" ref="I28:K28" si="11">I13/I7</f>
        <v>3.4698182604932931E-2</v>
      </c>
      <c r="J28" s="526">
        <f t="shared" si="11"/>
        <v>3.1264012754720745E-2</v>
      </c>
      <c r="K28" s="609">
        <f t="shared" si="11"/>
        <v>3.2691468205849547E-2</v>
      </c>
      <c r="L28" s="558">
        <v>3.3000000000000002E-2</v>
      </c>
      <c r="M28" s="252">
        <f t="shared" ref="M28:P28" si="12">L28</f>
        <v>3.3000000000000002E-2</v>
      </c>
      <c r="N28" s="252">
        <f t="shared" si="12"/>
        <v>3.3000000000000002E-2</v>
      </c>
      <c r="O28" s="252">
        <f t="shared" si="12"/>
        <v>3.3000000000000002E-2</v>
      </c>
      <c r="P28" s="252">
        <f t="shared" si="12"/>
        <v>3.3000000000000002E-2</v>
      </c>
      <c r="R28" s="51">
        <v>0</v>
      </c>
    </row>
    <row r="29" spans="1:18" ht="13.15" customHeight="1">
      <c r="I29" s="141"/>
      <c r="J29" s="141"/>
      <c r="K29" s="604"/>
      <c r="L29" s="141"/>
      <c r="M29" s="252"/>
      <c r="N29" s="252"/>
      <c r="O29" s="252"/>
      <c r="P29" s="252"/>
      <c r="R29" s="213"/>
    </row>
    <row r="30" spans="1:18" ht="12.75">
      <c r="C30" t="str">
        <f>C16&amp;" (days outstanding)"</f>
        <v>Accounts payable (days outstanding)</v>
      </c>
      <c r="I30" s="21">
        <f>I16/I8*days</f>
        <v>64.328157300129803</v>
      </c>
      <c r="J30" s="21">
        <f>J16/J8*days</f>
        <v>59.692327777536015</v>
      </c>
      <c r="K30" s="608">
        <f>K16/K8*days</f>
        <v>59.981542769857448</v>
      </c>
      <c r="L30" s="20">
        <v>60</v>
      </c>
      <c r="M30" s="252">
        <f t="shared" ref="M30:P30" si="13">L30+$R30</f>
        <v>60</v>
      </c>
      <c r="N30" s="252">
        <f t="shared" si="13"/>
        <v>60</v>
      </c>
      <c r="O30" s="252">
        <f t="shared" si="13"/>
        <v>60</v>
      </c>
      <c r="P30" s="252">
        <f t="shared" si="13"/>
        <v>60</v>
      </c>
      <c r="R30" s="51">
        <v>0</v>
      </c>
    </row>
    <row r="31" spans="1:18" ht="12.75">
      <c r="C31" t="str">
        <f>C17&amp;" (as % of cost of sales)"</f>
        <v>Other current liabilities (as % of cost of sales)</v>
      </c>
      <c r="I31" s="526">
        <f>I17/I8</f>
        <v>0.19436565549733187</v>
      </c>
      <c r="J31" s="526">
        <f t="shared" ref="J31:K31" si="14">J17/J8</f>
        <v>0.18242743374385306</v>
      </c>
      <c r="K31" s="609">
        <f t="shared" si="14"/>
        <v>0.19590122199592669</v>
      </c>
      <c r="L31" s="558">
        <v>0.19</v>
      </c>
      <c r="M31" s="641">
        <f t="shared" ref="M31:P31" si="15">L31</f>
        <v>0.19</v>
      </c>
      <c r="N31" s="641">
        <f t="shared" si="15"/>
        <v>0.19</v>
      </c>
      <c r="O31" s="641">
        <f t="shared" si="15"/>
        <v>0.19</v>
      </c>
      <c r="P31" s="641">
        <f t="shared" si="15"/>
        <v>0.19</v>
      </c>
      <c r="R31" s="51">
        <v>0</v>
      </c>
    </row>
  </sheetData>
  <phoneticPr fontId="17" type="noConversion"/>
  <pageMargins left="0.5" right="0.5" top="0.5" bottom="0.65" header="0.25" footer="0.25"/>
  <pageSetup scale="91" orientation="landscape" r:id="rId1"/>
  <headerFooter alignWithMargins="0">
    <oddFooter>&amp;C&amp;8&amp;G&amp;R&amp;8For training purposes only!&amp;L&amp;8COPYRIGHT 2017 © by Training The Street, Inc</oddFooter>
  </headerFooter>
  <legacyDrawing r:id="rId2"/>
  <legacyDrawingHF r:id="rId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R21"/>
  <sheetViews>
    <sheetView showGridLines="0" zoomScaleSheetLayoutView="100" workbookViewId="0"/>
  </sheetViews>
  <sheetFormatPr defaultColWidth="8.85546875" defaultRowHeight="13.15" customHeight="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7" width="2.7109375" customWidth="1"/>
    <col min="18" max="18" width="9.140625" customWidth="1"/>
  </cols>
  <sheetData>
    <row r="1" spans="1:18" ht="18.75" thickBot="1">
      <c r="B1" s="1" t="str">
        <f>"Depreciation Schedule for "&amp;name</f>
        <v>Depreciation Schedule for McCormick &amp; Co. Inc.</v>
      </c>
    </row>
    <row r="2" spans="1:18" ht="12.75">
      <c r="B2" s="2" t="str">
        <f>Subheader</f>
        <v>Dollars in millions, except per share data</v>
      </c>
      <c r="C2" s="3"/>
      <c r="D2" s="3"/>
      <c r="E2" s="3"/>
      <c r="F2" s="3"/>
      <c r="G2" s="3"/>
      <c r="H2" s="3"/>
      <c r="I2" s="3"/>
      <c r="J2" s="3"/>
      <c r="K2" s="3"/>
      <c r="L2" s="3"/>
      <c r="M2" s="472"/>
      <c r="N2" s="472"/>
      <c r="O2" s="472"/>
      <c r="P2" s="472"/>
    </row>
    <row r="4" spans="1:18" ht="12.75">
      <c r="I4" s="18" t="str">
        <f>is!I4</f>
        <v>Historical Year Ending November 30,</v>
      </c>
      <c r="J4" s="18"/>
      <c r="K4" s="104"/>
      <c r="L4" s="104" t="str">
        <f>is!L4</f>
        <v>Projected Year Ending November 30,</v>
      </c>
      <c r="M4" s="18"/>
      <c r="N4" s="18"/>
      <c r="O4" s="18"/>
      <c r="P4" s="18"/>
    </row>
    <row r="5" spans="1:18" ht="12.75">
      <c r="I5" s="86">
        <f>is!I$5</f>
        <v>2011</v>
      </c>
      <c r="J5" s="434">
        <f>is!J$5</f>
        <v>2012</v>
      </c>
      <c r="K5" s="232">
        <f>is!K$5</f>
        <v>2013</v>
      </c>
      <c r="L5" s="590">
        <f>is!L$5</f>
        <v>2014</v>
      </c>
      <c r="M5" s="86">
        <f>is!M$5</f>
        <v>2015</v>
      </c>
      <c r="N5" s="86">
        <f>is!N$5</f>
        <v>2016</v>
      </c>
      <c r="O5" s="86">
        <f>is!O$5</f>
        <v>2017</v>
      </c>
      <c r="P5" s="86">
        <f>is!P$5</f>
        <v>2018</v>
      </c>
      <c r="Q5" s="96"/>
    </row>
    <row r="6" spans="1:18" ht="12.75">
      <c r="E6" s="397"/>
      <c r="J6" s="12"/>
      <c r="K6" s="604"/>
      <c r="L6" s="141"/>
      <c r="Q6" s="96"/>
    </row>
    <row r="7" spans="1:18" s="5" customFormat="1" ht="12.75">
      <c r="A7" s="642"/>
      <c r="B7" s="5" t="s">
        <v>83</v>
      </c>
      <c r="G7"/>
      <c r="I7" s="24">
        <f>is!I7</f>
        <v>3697.6</v>
      </c>
      <c r="J7" s="24">
        <f>is!J7</f>
        <v>4014.2</v>
      </c>
      <c r="K7" s="95">
        <f>is!K7</f>
        <v>4123.3999999999996</v>
      </c>
      <c r="L7" s="26">
        <f>is!L7</f>
        <v>4288.3359999999993</v>
      </c>
      <c r="M7" s="24">
        <f>is!M7</f>
        <v>4472.7344479999992</v>
      </c>
      <c r="N7" s="24">
        <f>is!N7</f>
        <v>4678.4802326079998</v>
      </c>
      <c r="O7" s="24">
        <f>is!O7</f>
        <v>4907.7257640057915</v>
      </c>
      <c r="P7" s="24">
        <f>is!P7</f>
        <v>5162.9275037340931</v>
      </c>
      <c r="Q7" s="132"/>
      <c r="R7" s="133"/>
    </row>
    <row r="8" spans="1:18" ht="12.75">
      <c r="A8" s="642" t="s">
        <v>43</v>
      </c>
      <c r="B8" t="s">
        <v>48</v>
      </c>
      <c r="I8" s="62">
        <v>96.7</v>
      </c>
      <c r="J8" s="62">
        <v>110.3</v>
      </c>
      <c r="K8" s="210">
        <v>99.9</v>
      </c>
      <c r="L8" s="62">
        <v>125</v>
      </c>
      <c r="M8" s="129">
        <f>M9*M7</f>
        <v>125.23656454399998</v>
      </c>
      <c r="N8" s="129">
        <f t="shared" ref="N8:P8" si="0">N9*N7</f>
        <v>130.99744651302399</v>
      </c>
      <c r="O8" s="129">
        <f t="shared" si="0"/>
        <v>137.41632139216216</v>
      </c>
      <c r="P8" s="129">
        <f t="shared" si="0"/>
        <v>144.5619701045546</v>
      </c>
      <c r="Q8" s="96"/>
    </row>
    <row r="9" spans="1:18" ht="12.75">
      <c r="C9" s="13" t="s">
        <v>0</v>
      </c>
      <c r="I9" s="228">
        <f t="shared" ref="I9:L9" si="1">I8/I7</f>
        <v>2.6152098658589355E-2</v>
      </c>
      <c r="J9" s="228">
        <f t="shared" si="1"/>
        <v>2.7477455034627073E-2</v>
      </c>
      <c r="K9" s="244">
        <f t="shared" si="1"/>
        <v>2.4227579182228263E-2</v>
      </c>
      <c r="L9" s="449">
        <f t="shared" si="1"/>
        <v>2.9148835352453731E-2</v>
      </c>
      <c r="M9" s="562">
        <v>2.8000000000000001E-2</v>
      </c>
      <c r="N9" s="228">
        <f t="shared" ref="N9:P9" si="2">M9</f>
        <v>2.8000000000000001E-2</v>
      </c>
      <c r="O9" s="228">
        <f t="shared" si="2"/>
        <v>2.8000000000000001E-2</v>
      </c>
      <c r="P9" s="228">
        <f t="shared" si="2"/>
        <v>2.8000000000000001E-2</v>
      </c>
    </row>
    <row r="10" spans="1:18" ht="12.75">
      <c r="D10" s="13"/>
      <c r="I10" s="228"/>
      <c r="J10" s="228"/>
      <c r="K10" s="244"/>
      <c r="L10" s="560"/>
      <c r="M10" s="559"/>
      <c r="N10" s="228"/>
      <c r="O10" s="228"/>
      <c r="P10" s="228"/>
    </row>
    <row r="11" spans="1:18" ht="12.75">
      <c r="B11" t="s">
        <v>228</v>
      </c>
      <c r="D11" s="13"/>
      <c r="I11" s="511">
        <f>is!I14</f>
        <v>95</v>
      </c>
      <c r="J11" s="511">
        <f>is!J14</f>
        <v>98.5</v>
      </c>
      <c r="K11" s="612">
        <f>is!K14</f>
        <v>100.8</v>
      </c>
      <c r="L11" s="415">
        <v>109</v>
      </c>
      <c r="M11" s="512">
        <f>M12*M8</f>
        <v>110.20817679871998</v>
      </c>
      <c r="N11" s="512">
        <f>N12*N8</f>
        <v>120.51765079198208</v>
      </c>
      <c r="O11" s="512">
        <f t="shared" ref="O11:P11" si="3">O12*O8</f>
        <v>131.91966853647568</v>
      </c>
      <c r="P11" s="512">
        <f t="shared" si="3"/>
        <v>144.5619701045546</v>
      </c>
      <c r="R11" s="507" t="s">
        <v>94</v>
      </c>
    </row>
    <row r="12" spans="1:18" ht="12.75">
      <c r="C12" s="13" t="s">
        <v>229</v>
      </c>
      <c r="D12" s="13"/>
      <c r="I12" s="228">
        <f t="shared" ref="I12:L12" si="4">I11/I8</f>
        <v>0.9824198552223371</v>
      </c>
      <c r="J12" s="228">
        <f t="shared" si="4"/>
        <v>0.89301903898458757</v>
      </c>
      <c r="K12" s="481">
        <f t="shared" si="4"/>
        <v>1.0090090090090089</v>
      </c>
      <c r="L12" s="160">
        <f t="shared" si="4"/>
        <v>0.872</v>
      </c>
      <c r="M12" s="562">
        <v>0.88</v>
      </c>
      <c r="N12" s="228">
        <f>M12+$R12</f>
        <v>0.92</v>
      </c>
      <c r="O12" s="228">
        <f t="shared" ref="O12:P12" si="5">N12+$R12</f>
        <v>0.96000000000000008</v>
      </c>
      <c r="P12" s="228">
        <f t="shared" si="5"/>
        <v>1</v>
      </c>
      <c r="R12" s="561">
        <v>0.04</v>
      </c>
    </row>
    <row r="13" spans="1:18" ht="12.75">
      <c r="C13" s="13" t="s">
        <v>230</v>
      </c>
      <c r="D13" s="13"/>
      <c r="I13" s="611">
        <f>I11/I19</f>
        <v>0.18160963486904988</v>
      </c>
      <c r="J13" s="611">
        <f t="shared" ref="J13:P13" si="6">J11/J19</f>
        <v>0.17997441987940802</v>
      </c>
      <c r="K13" s="481">
        <f t="shared" si="6"/>
        <v>0.1748178980228928</v>
      </c>
      <c r="L13" s="160">
        <f t="shared" si="6"/>
        <v>0.18393520080998987</v>
      </c>
      <c r="M13" s="160">
        <f t="shared" si="6"/>
        <v>0.18137430544953345</v>
      </c>
      <c r="N13" s="160">
        <f t="shared" si="6"/>
        <v>0.19497824817028742</v>
      </c>
      <c r="O13" s="160">
        <f t="shared" si="6"/>
        <v>0.21154369057580052</v>
      </c>
      <c r="P13" s="160">
        <f t="shared" si="6"/>
        <v>0.23181662758931476</v>
      </c>
    </row>
    <row r="14" spans="1:18" ht="12.75">
      <c r="J14" s="12"/>
      <c r="K14" s="604"/>
      <c r="L14" s="526"/>
    </row>
    <row r="15" spans="1:18" ht="12.75">
      <c r="B15" t="s">
        <v>103</v>
      </c>
      <c r="I15" s="31"/>
      <c r="J15" s="450"/>
      <c r="K15" s="613"/>
      <c r="L15" s="15">
        <f>K19</f>
        <v>576.6</v>
      </c>
      <c r="M15" s="15">
        <f t="shared" ref="M15:P15" si="7">L19</f>
        <v>592.6</v>
      </c>
      <c r="N15" s="15">
        <f t="shared" si="7"/>
        <v>607.62838774528007</v>
      </c>
      <c r="O15" s="15">
        <f t="shared" si="7"/>
        <v>618.10818346632198</v>
      </c>
      <c r="P15" s="15">
        <f t="shared" si="7"/>
        <v>623.6048363220084</v>
      </c>
    </row>
    <row r="16" spans="1:18" ht="12.75">
      <c r="C16" t="s">
        <v>48</v>
      </c>
      <c r="I16" s="32" t="s">
        <v>96</v>
      </c>
      <c r="J16" s="451"/>
      <c r="K16" s="247"/>
      <c r="L16" s="527">
        <f>L8</f>
        <v>125</v>
      </c>
      <c r="M16" s="527">
        <f t="shared" ref="M16:P16" si="8">M8</f>
        <v>125.23656454399998</v>
      </c>
      <c r="N16" s="527">
        <f t="shared" si="8"/>
        <v>130.99744651302399</v>
      </c>
      <c r="O16" s="527">
        <f t="shared" si="8"/>
        <v>137.41632139216216</v>
      </c>
      <c r="P16" s="527">
        <f t="shared" si="8"/>
        <v>144.5619701045546</v>
      </c>
    </row>
    <row r="17" spans="1:16" ht="12.75">
      <c r="C17" t="s">
        <v>1</v>
      </c>
      <c r="I17" s="31"/>
      <c r="J17" s="450"/>
      <c r="K17" s="613"/>
      <c r="L17" s="21">
        <f>-L11</f>
        <v>-109</v>
      </c>
      <c r="M17" s="21">
        <f t="shared" ref="M17:P17" si="9">-M11</f>
        <v>-110.20817679871998</v>
      </c>
      <c r="N17" s="21">
        <f t="shared" si="9"/>
        <v>-120.51765079198208</v>
      </c>
      <c r="O17" s="21">
        <f t="shared" si="9"/>
        <v>-131.91966853647568</v>
      </c>
      <c r="P17" s="21">
        <f t="shared" si="9"/>
        <v>-144.5619701045546</v>
      </c>
    </row>
    <row r="18" spans="1:16" ht="12.75">
      <c r="C18" t="s">
        <v>2</v>
      </c>
      <c r="I18" s="31"/>
      <c r="J18" s="450"/>
      <c r="K18" s="613"/>
      <c r="L18" s="528">
        <v>0</v>
      </c>
      <c r="M18" s="610">
        <v>0</v>
      </c>
      <c r="N18" s="191">
        <v>0</v>
      </c>
      <c r="O18" s="191">
        <v>0</v>
      </c>
      <c r="P18" s="191">
        <v>0</v>
      </c>
    </row>
    <row r="19" spans="1:16" ht="12.75">
      <c r="A19" s="642" t="s">
        <v>43</v>
      </c>
      <c r="B19" t="s">
        <v>104</v>
      </c>
      <c r="I19" s="250">
        <f>bs!I13</f>
        <v>523.1</v>
      </c>
      <c r="J19" s="250">
        <f>bs!J13</f>
        <v>547.29999999999995</v>
      </c>
      <c r="K19" s="251">
        <f>bs!K13</f>
        <v>576.6</v>
      </c>
      <c r="L19" s="255">
        <f>SUM(L15:L18)</f>
        <v>592.6</v>
      </c>
      <c r="M19" s="255">
        <f t="shared" ref="M19:P19" si="10">SUM(M15:M18)</f>
        <v>607.62838774528007</v>
      </c>
      <c r="N19" s="255">
        <f t="shared" si="10"/>
        <v>618.10818346632198</v>
      </c>
      <c r="O19" s="255">
        <f t="shared" si="10"/>
        <v>623.6048363220084</v>
      </c>
      <c r="P19" s="255">
        <f t="shared" si="10"/>
        <v>623.6048363220084</v>
      </c>
    </row>
    <row r="20" spans="1:16" ht="12.75">
      <c r="B20" s="7"/>
      <c r="G20" s="143"/>
      <c r="I20" s="134"/>
      <c r="J20" s="134"/>
      <c r="K20" s="134"/>
      <c r="L20" s="134"/>
      <c r="M20" s="134"/>
      <c r="N20" s="134"/>
      <c r="O20" s="134"/>
      <c r="P20" s="134"/>
    </row>
    <row r="21" spans="1:16" s="136" customFormat="1" ht="12.75">
      <c r="A21" s="642" t="s">
        <v>43</v>
      </c>
      <c r="B21" s="135" t="s">
        <v>49</v>
      </c>
      <c r="I21"/>
      <c r="J21"/>
      <c r="K21"/>
      <c r="L21"/>
      <c r="M21"/>
      <c r="N21"/>
      <c r="O21"/>
    </row>
  </sheetData>
  <phoneticPr fontId="9" type="noConversion"/>
  <pageMargins left="0.5" right="0.5" top="0.5" bottom="0.65" header="0.25" footer="0.25"/>
  <pageSetup scale="97" orientation="landscape" r:id="rId1"/>
  <headerFooter alignWithMargins="0">
    <oddFooter>&amp;C&amp;8&amp;G&amp;R&amp;8For training purposes only!&amp;L&amp;8COPYRIGHT 2017 © by Training The Street, Inc</oddFooter>
  </headerFooter>
  <legacyDrawing r:id="rId2"/>
  <legacyDrawingHF r:id="rId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P21"/>
  <sheetViews>
    <sheetView showGridLines="0" zoomScaleSheetLayoutView="100" workbookViewId="0"/>
  </sheetViews>
  <sheetFormatPr defaultColWidth="8.85546875" defaultRowHeight="13.15" customHeight="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7" width="9.140625" customWidth="1"/>
    <col min="20" max="20" width="9.140625" customWidth="1"/>
  </cols>
  <sheetData>
    <row r="1" spans="1:16" ht="18.75" thickBot="1">
      <c r="B1" s="14" t="str">
        <f>"Amortization Schedule for " &amp;name</f>
        <v>Amortization Schedule for McCormick &amp; Co. Inc.</v>
      </c>
    </row>
    <row r="2" spans="1:16" ht="12.75">
      <c r="B2" s="2" t="s">
        <v>117</v>
      </c>
      <c r="C2" s="230"/>
      <c r="D2" s="230"/>
      <c r="E2" s="230"/>
      <c r="F2" s="230"/>
      <c r="G2" s="230"/>
      <c r="H2" s="230"/>
      <c r="I2" s="230"/>
      <c r="J2" s="230"/>
      <c r="K2" s="230"/>
      <c r="L2" s="230"/>
      <c r="M2" s="230"/>
      <c r="N2" s="230"/>
      <c r="O2" s="230"/>
      <c r="P2" s="230"/>
    </row>
    <row r="4" spans="1:16" ht="12.75">
      <c r="I4" s="18" t="str">
        <f>is!I4</f>
        <v>Historical Year Ending November 30,</v>
      </c>
      <c r="J4" s="248"/>
      <c r="K4" s="248"/>
      <c r="L4" s="18" t="str">
        <f>is!L4</f>
        <v>Projected Year Ending November 30,</v>
      </c>
      <c r="M4" s="231"/>
      <c r="N4" s="231"/>
      <c r="O4" s="231"/>
      <c r="P4" s="231"/>
    </row>
    <row r="5" spans="1:16" ht="12.75">
      <c r="I5" s="86">
        <f>is!I$5</f>
        <v>2011</v>
      </c>
      <c r="J5" s="434">
        <f>is!J$5</f>
        <v>2012</v>
      </c>
      <c r="K5" s="232">
        <f>is!K$5</f>
        <v>2013</v>
      </c>
      <c r="L5" s="434">
        <f>is!L$5</f>
        <v>2014</v>
      </c>
      <c r="M5" s="86">
        <f>is!M$5</f>
        <v>2015</v>
      </c>
      <c r="N5" s="86">
        <f>is!N$5</f>
        <v>2016</v>
      </c>
      <c r="O5" s="86">
        <f>is!O$5</f>
        <v>2017</v>
      </c>
      <c r="P5" s="86">
        <f>is!P$5</f>
        <v>2018</v>
      </c>
    </row>
    <row r="6" spans="1:16" ht="12.75">
      <c r="G6" s="402"/>
      <c r="J6" s="141"/>
      <c r="K6" s="140"/>
    </row>
    <row r="7" spans="1:16" ht="12.75">
      <c r="B7" s="17" t="s">
        <v>83</v>
      </c>
      <c r="G7" s="141"/>
      <c r="I7" s="24">
        <f>is!I7</f>
        <v>3697.6</v>
      </c>
      <c r="J7" s="26">
        <f>is!J7</f>
        <v>4014.2</v>
      </c>
      <c r="K7" s="95">
        <f>is!K7</f>
        <v>4123.3999999999996</v>
      </c>
      <c r="L7" s="26">
        <f>is!L7</f>
        <v>4288.3359999999993</v>
      </c>
      <c r="M7" s="24">
        <f>is!M7</f>
        <v>4472.7344479999992</v>
      </c>
      <c r="N7" s="24">
        <f>is!N7</f>
        <v>4678.4802326079998</v>
      </c>
      <c r="O7" s="24">
        <f>is!O7</f>
        <v>4907.7257640057915</v>
      </c>
      <c r="P7" s="24">
        <f>is!P7</f>
        <v>5162.9275037340931</v>
      </c>
    </row>
    <row r="8" spans="1:16" ht="12.75">
      <c r="A8" s="642" t="s">
        <v>43</v>
      </c>
      <c r="B8" t="s">
        <v>39</v>
      </c>
      <c r="G8" s="214"/>
      <c r="H8" s="213"/>
      <c r="I8" s="565">
        <f>82.8-50.8</f>
        <v>32</v>
      </c>
      <c r="J8" s="565">
        <f>80.9-82.8</f>
        <v>-1.8999999999999915</v>
      </c>
      <c r="K8" s="566">
        <f>93.9-80.9</f>
        <v>13</v>
      </c>
      <c r="L8" s="51">
        <v>5</v>
      </c>
      <c r="M8" s="249">
        <f>L8+$R$8</f>
        <v>5</v>
      </c>
      <c r="N8" s="249">
        <f>M8+$R$8</f>
        <v>5</v>
      </c>
      <c r="O8" s="249">
        <f>N8+$R$8</f>
        <v>5</v>
      </c>
      <c r="P8" s="249">
        <f>O8+$R$8</f>
        <v>5</v>
      </c>
    </row>
    <row r="9" spans="1:16" ht="12.75">
      <c r="C9" s="13" t="s">
        <v>170</v>
      </c>
      <c r="G9" s="141"/>
      <c r="I9" s="228">
        <f t="shared" ref="I9:P9" si="0">I8/I7</f>
        <v>8.6542622241453926E-3</v>
      </c>
      <c r="J9" s="449">
        <f t="shared" si="0"/>
        <v>-4.7331971501170635E-4</v>
      </c>
      <c r="K9" s="244">
        <f t="shared" si="0"/>
        <v>3.1527380317213955E-3</v>
      </c>
      <c r="L9" s="449">
        <f t="shared" si="0"/>
        <v>1.1659534140981492E-3</v>
      </c>
      <c r="M9" s="228">
        <f t="shared" si="0"/>
        <v>1.1178843855207568E-3</v>
      </c>
      <c r="N9" s="228">
        <f t="shared" si="0"/>
        <v>1.0687231219127691E-3</v>
      </c>
      <c r="O9" s="228">
        <f t="shared" si="0"/>
        <v>1.0188018321380069E-3</v>
      </c>
      <c r="P9" s="228">
        <f t="shared" si="0"/>
        <v>9.6844280621483537E-4</v>
      </c>
    </row>
    <row r="10" spans="1:16" ht="12.75">
      <c r="B10" s="13"/>
      <c r="G10" s="141"/>
      <c r="I10" s="228"/>
      <c r="J10" s="449"/>
      <c r="K10" s="244"/>
      <c r="L10" s="449"/>
      <c r="M10" s="228"/>
      <c r="N10" s="228"/>
      <c r="O10" s="228"/>
      <c r="P10" s="228"/>
    </row>
    <row r="11" spans="1:16" ht="12.75">
      <c r="B11" s="16" t="s">
        <v>231</v>
      </c>
      <c r="C11" s="16"/>
      <c r="G11" s="141"/>
      <c r="I11" s="509">
        <f>is!I15</f>
        <v>3.3</v>
      </c>
      <c r="J11" s="509">
        <f>is!J15</f>
        <v>4.3</v>
      </c>
      <c r="K11" s="510">
        <f>is!K15</f>
        <v>5.2</v>
      </c>
      <c r="L11" s="564">
        <v>4</v>
      </c>
      <c r="M11" s="508">
        <f>L11</f>
        <v>4</v>
      </c>
      <c r="N11" s="508">
        <f>M11</f>
        <v>4</v>
      </c>
      <c r="O11" s="508">
        <f>N11</f>
        <v>4</v>
      </c>
      <c r="P11" s="508">
        <f>O11</f>
        <v>4</v>
      </c>
    </row>
    <row r="12" spans="1:16" ht="12.75">
      <c r="C12" s="13" t="s">
        <v>232</v>
      </c>
      <c r="G12" s="141"/>
      <c r="I12" s="228">
        <f t="shared" ref="I12:P12" si="1">I11/I19</f>
        <v>5.3484602917341979E-2</v>
      </c>
      <c r="J12" s="449">
        <f t="shared" si="1"/>
        <v>7.6923076923076913E-2</v>
      </c>
      <c r="K12" s="244">
        <f t="shared" si="1"/>
        <v>8.1632653061224483E-2</v>
      </c>
      <c r="L12" s="449">
        <f t="shared" si="1"/>
        <v>6.1823802163833076E-2</v>
      </c>
      <c r="M12" s="228">
        <f t="shared" si="1"/>
        <v>6.0882800608828003E-2</v>
      </c>
      <c r="N12" s="228">
        <f t="shared" si="1"/>
        <v>5.9970014992503748E-2</v>
      </c>
      <c r="O12" s="228">
        <f t="shared" si="1"/>
        <v>5.9084194977843424E-2</v>
      </c>
      <c r="P12" s="228">
        <f t="shared" si="1"/>
        <v>5.8224163027656477E-2</v>
      </c>
    </row>
    <row r="13" spans="1:16" ht="12.75">
      <c r="B13" s="13"/>
      <c r="G13" s="141"/>
      <c r="I13" s="228"/>
      <c r="J13" s="449"/>
      <c r="K13" s="244"/>
      <c r="L13" s="449"/>
      <c r="M13" s="228"/>
      <c r="N13" s="228"/>
      <c r="O13" s="228"/>
      <c r="P13" s="228"/>
    </row>
    <row r="14" spans="1:16" ht="12.75">
      <c r="G14" s="141"/>
      <c r="J14" s="141"/>
      <c r="K14" s="140"/>
    </row>
    <row r="15" spans="1:16" ht="12.75">
      <c r="B15" t="s">
        <v>171</v>
      </c>
      <c r="G15" s="141"/>
      <c r="I15" s="245"/>
      <c r="J15" s="452"/>
      <c r="K15" s="246"/>
      <c r="L15" s="5">
        <f>K19</f>
        <v>63.7</v>
      </c>
      <c r="M15" s="217">
        <f>L19</f>
        <v>64.7</v>
      </c>
      <c r="N15" s="217">
        <f>M19</f>
        <v>65.7</v>
      </c>
      <c r="O15" s="217">
        <f>N19</f>
        <v>66.7</v>
      </c>
      <c r="P15" s="217">
        <f>O19</f>
        <v>67.7</v>
      </c>
    </row>
    <row r="16" spans="1:16" ht="12.75">
      <c r="C16" t="s">
        <v>39</v>
      </c>
      <c r="G16" s="141"/>
      <c r="I16" s="32"/>
      <c r="J16" s="451"/>
      <c r="K16" s="247"/>
      <c r="L16" s="205">
        <f>L8</f>
        <v>5</v>
      </c>
      <c r="M16" s="205">
        <f>M8</f>
        <v>5</v>
      </c>
      <c r="N16" s="205">
        <f>N8</f>
        <v>5</v>
      </c>
      <c r="O16" s="205">
        <f>O8</f>
        <v>5</v>
      </c>
      <c r="P16" s="205">
        <f>P8</f>
        <v>5</v>
      </c>
    </row>
    <row r="17" spans="1:16" ht="12.75">
      <c r="C17" t="s">
        <v>172</v>
      </c>
      <c r="G17" s="141"/>
      <c r="I17" s="245"/>
      <c r="J17" s="452"/>
      <c r="K17" s="246"/>
      <c r="L17" s="205">
        <f>-L11</f>
        <v>-4</v>
      </c>
      <c r="M17" s="205">
        <f>-M11</f>
        <v>-4</v>
      </c>
      <c r="N17" s="205">
        <f>-N11</f>
        <v>-4</v>
      </c>
      <c r="O17" s="205">
        <f>-O11</f>
        <v>-4</v>
      </c>
      <c r="P17" s="205">
        <f>-P11</f>
        <v>-4</v>
      </c>
    </row>
    <row r="18" spans="1:16" ht="12.75">
      <c r="C18" t="s">
        <v>173</v>
      </c>
      <c r="G18" s="141"/>
      <c r="I18" s="245"/>
      <c r="J18" s="452"/>
      <c r="K18" s="246"/>
      <c r="L18" s="82">
        <v>0</v>
      </c>
      <c r="M18" s="205">
        <f>L18</f>
        <v>0</v>
      </c>
      <c r="N18" s="205">
        <f>M18</f>
        <v>0</v>
      </c>
      <c r="O18" s="205">
        <f>N18</f>
        <v>0</v>
      </c>
      <c r="P18" s="205">
        <f>O18</f>
        <v>0</v>
      </c>
    </row>
    <row r="19" spans="1:16" ht="12.75">
      <c r="A19" s="642" t="s">
        <v>43</v>
      </c>
      <c r="B19" t="s">
        <v>174</v>
      </c>
      <c r="G19" s="141"/>
      <c r="I19" s="250">
        <f>bs!I14</f>
        <v>61.699999999999996</v>
      </c>
      <c r="J19" s="250">
        <f>bs!J14</f>
        <v>55.900000000000006</v>
      </c>
      <c r="K19" s="251">
        <f>bs!K14</f>
        <v>63.7</v>
      </c>
      <c r="L19" s="223">
        <f>SUM(L15:L18)</f>
        <v>64.7</v>
      </c>
      <c r="M19" s="223">
        <f>SUM(M15:M18)</f>
        <v>65.7</v>
      </c>
      <c r="N19" s="223">
        <f>SUM(N15:N18)</f>
        <v>66.7</v>
      </c>
      <c r="O19" s="223">
        <f>SUM(O15:O18)</f>
        <v>67.7</v>
      </c>
      <c r="P19" s="223">
        <f>SUM(P15:P18)</f>
        <v>68.7</v>
      </c>
    </row>
    <row r="20" spans="1:16" ht="12.75">
      <c r="G20" s="141"/>
      <c r="I20" s="26"/>
      <c r="J20" s="26"/>
      <c r="K20" s="26"/>
      <c r="L20" s="224"/>
      <c r="M20" s="224"/>
      <c r="N20" s="224"/>
      <c r="O20" s="224"/>
      <c r="P20" s="224"/>
    </row>
    <row r="21" spans="1:16" s="253" customFormat="1" ht="12.75">
      <c r="A21" s="642" t="s">
        <v>43</v>
      </c>
      <c r="B21" s="135" t="s">
        <v>49</v>
      </c>
      <c r="L21" s="563"/>
    </row>
  </sheetData>
  <phoneticPr fontId="64" type="noConversion"/>
  <pageMargins left="0.5" right="0.5" top="0.5" bottom="0.65" header="0.25" footer="0.25"/>
  <pageSetup scale="97" orientation="landscape" r:id="rId1"/>
  <headerFooter alignWithMargins="0">
    <oddFooter>&amp;C&amp;8&amp;G&amp;R&amp;8For training purposes only!&amp;L&amp;8COPYRIGHT 2017 © by Training The Street, Inc</oddFooter>
  </headerFooter>
  <legacyDrawing r:id="rId2"/>
  <legacyDrawingHF r:id="rId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R28"/>
  <sheetViews>
    <sheetView showGridLines="0" zoomScaleSheetLayoutView="100" workbookViewId="0"/>
  </sheetViews>
  <sheetFormatPr defaultColWidth="8.85546875" defaultRowHeight="12.75" customHeight="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7" width="2.7109375" customWidth="1"/>
    <col min="18" max="18" width="10.7109375" customWidth="1"/>
  </cols>
  <sheetData>
    <row r="1" spans="2:16" ht="18.75" thickBot="1">
      <c r="B1" s="14" t="str">
        <f>"Other Long-Term Items Schedule for " &amp;name</f>
        <v>Other Long-Term Items Schedule for McCormick &amp; Co. Inc.</v>
      </c>
    </row>
    <row r="2" spans="2:16">
      <c r="B2" s="2" t="str">
        <f>Subheader</f>
        <v>Dollars in millions, except per share data</v>
      </c>
      <c r="C2" s="230"/>
      <c r="D2" s="230"/>
      <c r="E2" s="230"/>
      <c r="F2" s="230"/>
      <c r="G2" s="230"/>
      <c r="H2" s="230"/>
      <c r="I2" s="230"/>
      <c r="J2" s="230"/>
      <c r="K2" s="230"/>
      <c r="L2" s="230"/>
      <c r="M2" s="230"/>
      <c r="N2" s="230"/>
      <c r="O2" s="230"/>
      <c r="P2" s="230"/>
    </row>
    <row r="4" spans="2:16">
      <c r="I4" s="18" t="str">
        <f>is!I4</f>
        <v>Historical Year Ending November 30,</v>
      </c>
      <c r="J4" s="248"/>
      <c r="K4" s="248"/>
      <c r="L4" s="18" t="str">
        <f>is!L4</f>
        <v>Projected Year Ending November 30,</v>
      </c>
      <c r="M4" s="231"/>
      <c r="N4" s="231"/>
      <c r="O4" s="231"/>
      <c r="P4" s="231"/>
    </row>
    <row r="5" spans="2:16">
      <c r="I5" s="86">
        <f>is!I$5</f>
        <v>2011</v>
      </c>
      <c r="J5" s="434">
        <f>is!J$5</f>
        <v>2012</v>
      </c>
      <c r="K5" s="232">
        <f>is!K$5</f>
        <v>2013</v>
      </c>
      <c r="L5" s="86">
        <f>is!L$5</f>
        <v>2014</v>
      </c>
      <c r="M5" s="86">
        <f>is!M$5</f>
        <v>2015</v>
      </c>
      <c r="N5" s="86">
        <f>is!N$5</f>
        <v>2016</v>
      </c>
      <c r="O5" s="86">
        <f>is!O$5</f>
        <v>2017</v>
      </c>
      <c r="P5" s="86">
        <f>is!P$5</f>
        <v>2018</v>
      </c>
    </row>
    <row r="6" spans="2:16">
      <c r="I6" s="4"/>
      <c r="J6" s="11"/>
      <c r="K6" s="461"/>
      <c r="L6" s="4"/>
      <c r="M6" s="4"/>
      <c r="N6" s="4"/>
      <c r="O6" s="4"/>
      <c r="P6" s="4"/>
    </row>
    <row r="7" spans="2:16">
      <c r="B7" s="4" t="s">
        <v>165</v>
      </c>
      <c r="I7" s="4"/>
      <c r="J7" s="11"/>
      <c r="K7" s="461"/>
      <c r="L7" s="4"/>
      <c r="M7" s="4"/>
      <c r="N7" s="4"/>
      <c r="O7" s="4"/>
      <c r="P7" s="4"/>
    </row>
    <row r="8" spans="2:16">
      <c r="B8" s="4"/>
      <c r="C8" s="254" t="str">
        <f>bs!B15</f>
        <v>Indefinite life intangibles</v>
      </c>
      <c r="I8" s="24">
        <f>bs!I15</f>
        <v>288.3</v>
      </c>
      <c r="J8" s="24">
        <f>bs!J15</f>
        <v>267.60000000000002</v>
      </c>
      <c r="K8" s="95">
        <f>bs!K15</f>
        <v>269.7</v>
      </c>
      <c r="L8" s="98">
        <f>K8</f>
        <v>269.7</v>
      </c>
      <c r="M8" s="233">
        <f t="shared" ref="M8:P10" si="0">L8</f>
        <v>269.7</v>
      </c>
      <c r="N8" s="233">
        <f t="shared" si="0"/>
        <v>269.7</v>
      </c>
      <c r="O8" s="233">
        <f t="shared" si="0"/>
        <v>269.7</v>
      </c>
      <c r="P8" s="233">
        <f t="shared" si="0"/>
        <v>269.7</v>
      </c>
    </row>
    <row r="9" spans="2:16">
      <c r="B9" s="4"/>
      <c r="C9" s="254" t="str">
        <f>bs!B16</f>
        <v>Goodwill</v>
      </c>
      <c r="I9" s="25">
        <f>bs!I16</f>
        <v>1694.2</v>
      </c>
      <c r="J9" s="25">
        <f>bs!J16</f>
        <v>1695.3</v>
      </c>
      <c r="K9" s="105">
        <f>bs!K16</f>
        <v>1798.5</v>
      </c>
      <c r="L9" s="82">
        <f>K9</f>
        <v>1798.5</v>
      </c>
      <c r="M9" s="205">
        <f t="shared" si="0"/>
        <v>1798.5</v>
      </c>
      <c r="N9" s="205">
        <f t="shared" si="0"/>
        <v>1798.5</v>
      </c>
      <c r="O9" s="205">
        <f t="shared" si="0"/>
        <v>1798.5</v>
      </c>
      <c r="P9" s="205">
        <f t="shared" si="0"/>
        <v>1798.5</v>
      </c>
    </row>
    <row r="10" spans="2:16">
      <c r="C10" s="254" t="str">
        <f>bs!B17</f>
        <v>Other long-term assets</v>
      </c>
      <c r="I10" s="25">
        <f>bs!I17</f>
        <v>167.10000000000002</v>
      </c>
      <c r="J10" s="25">
        <f>bs!J17</f>
        <v>172.2</v>
      </c>
      <c r="K10" s="105">
        <f>bs!K17</f>
        <v>210.4</v>
      </c>
      <c r="L10" s="82">
        <f>K10</f>
        <v>210.4</v>
      </c>
      <c r="M10" s="205">
        <f t="shared" si="0"/>
        <v>210.4</v>
      </c>
      <c r="N10" s="205">
        <f t="shared" si="0"/>
        <v>210.4</v>
      </c>
      <c r="O10" s="205">
        <f t="shared" si="0"/>
        <v>210.4</v>
      </c>
      <c r="P10" s="205">
        <f t="shared" si="0"/>
        <v>210.4</v>
      </c>
    </row>
    <row r="11" spans="2:16">
      <c r="D11" t="s">
        <v>224</v>
      </c>
      <c r="I11" s="223">
        <f t="shared" ref="I11:P11" si="1">SUM(I8:I10)</f>
        <v>2149.6</v>
      </c>
      <c r="J11" s="223">
        <f t="shared" si="1"/>
        <v>2135.1</v>
      </c>
      <c r="K11" s="462">
        <f t="shared" si="1"/>
        <v>2278.6</v>
      </c>
      <c r="L11" s="223">
        <f t="shared" si="1"/>
        <v>2278.6</v>
      </c>
      <c r="M11" s="223">
        <f t="shared" si="1"/>
        <v>2278.6</v>
      </c>
      <c r="N11" s="223">
        <f t="shared" si="1"/>
        <v>2278.6</v>
      </c>
      <c r="O11" s="223">
        <f t="shared" si="1"/>
        <v>2278.6</v>
      </c>
      <c r="P11" s="223">
        <f t="shared" si="1"/>
        <v>2278.6</v>
      </c>
    </row>
    <row r="12" spans="2:16">
      <c r="D12" s="13" t="s">
        <v>225</v>
      </c>
      <c r="I12" s="235"/>
      <c r="J12" s="235">
        <f t="shared" ref="J12:P12" si="2">I11-J11</f>
        <v>14.5</v>
      </c>
      <c r="K12" s="463">
        <f t="shared" si="2"/>
        <v>-143.5</v>
      </c>
      <c r="L12" s="235">
        <f t="shared" si="2"/>
        <v>0</v>
      </c>
      <c r="M12" s="235">
        <f t="shared" si="2"/>
        <v>0</v>
      </c>
      <c r="N12" s="235">
        <f t="shared" si="2"/>
        <v>0</v>
      </c>
      <c r="O12" s="235">
        <f t="shared" si="2"/>
        <v>0</v>
      </c>
      <c r="P12" s="235">
        <f t="shared" si="2"/>
        <v>0</v>
      </c>
    </row>
    <row r="13" spans="2:16">
      <c r="B13" s="236"/>
      <c r="C13" s="236"/>
      <c r="D13" s="236"/>
      <c r="K13" s="140"/>
    </row>
    <row r="14" spans="2:16">
      <c r="B14" s="4" t="s">
        <v>166</v>
      </c>
      <c r="D14" s="13"/>
      <c r="K14" s="140"/>
    </row>
    <row r="15" spans="2:16">
      <c r="C15" s="234" t="str">
        <f>bs!B27</f>
        <v>Other long-term liabilities</v>
      </c>
      <c r="I15" s="24">
        <f>bs!I27</f>
        <v>446.3</v>
      </c>
      <c r="J15" s="24">
        <f>bs!J27</f>
        <v>498.4</v>
      </c>
      <c r="K15" s="95">
        <f>bs!K27</f>
        <v>419.9</v>
      </c>
      <c r="L15" s="83">
        <f>K15</f>
        <v>419.9</v>
      </c>
      <c r="M15" s="217">
        <f>L15</f>
        <v>419.9</v>
      </c>
      <c r="N15" s="217">
        <f>M15</f>
        <v>419.9</v>
      </c>
      <c r="O15" s="217">
        <f>N15</f>
        <v>419.9</v>
      </c>
      <c r="P15" s="217">
        <f>O15</f>
        <v>419.9</v>
      </c>
    </row>
    <row r="16" spans="2:16">
      <c r="D16" t="s">
        <v>226</v>
      </c>
      <c r="I16" s="223">
        <f t="shared" ref="I16:P16" si="3">I15</f>
        <v>446.3</v>
      </c>
      <c r="J16" s="223">
        <f t="shared" si="3"/>
        <v>498.4</v>
      </c>
      <c r="K16" s="462">
        <f t="shared" si="3"/>
        <v>419.9</v>
      </c>
      <c r="L16" s="223">
        <f t="shared" si="3"/>
        <v>419.9</v>
      </c>
      <c r="M16" s="223">
        <f t="shared" si="3"/>
        <v>419.9</v>
      </c>
      <c r="N16" s="223">
        <f t="shared" si="3"/>
        <v>419.9</v>
      </c>
      <c r="O16" s="223">
        <f t="shared" si="3"/>
        <v>419.9</v>
      </c>
      <c r="P16" s="223">
        <f t="shared" si="3"/>
        <v>419.9</v>
      </c>
    </row>
    <row r="17" spans="1:18">
      <c r="C17" s="13"/>
      <c r="D17" s="13" t="s">
        <v>227</v>
      </c>
      <c r="I17" s="235"/>
      <c r="J17" s="235">
        <f t="shared" ref="J17:P17" si="4">J16-I16</f>
        <v>52.099999999999966</v>
      </c>
      <c r="K17" s="463">
        <f t="shared" si="4"/>
        <v>-78.5</v>
      </c>
      <c r="L17" s="235">
        <f t="shared" si="4"/>
        <v>0</v>
      </c>
      <c r="M17" s="235">
        <f t="shared" si="4"/>
        <v>0</v>
      </c>
      <c r="N17" s="235">
        <f t="shared" si="4"/>
        <v>0</v>
      </c>
      <c r="O17" s="235">
        <f t="shared" si="4"/>
        <v>0</v>
      </c>
      <c r="P17" s="235">
        <f t="shared" si="4"/>
        <v>0</v>
      </c>
    </row>
    <row r="18" spans="1:18">
      <c r="K18" s="140"/>
    </row>
    <row r="19" spans="1:18" s="22" customFormat="1">
      <c r="A19" s="642" t="s">
        <v>43</v>
      </c>
      <c r="B19" s="22" t="s">
        <v>119</v>
      </c>
      <c r="C19"/>
      <c r="J19" s="22">
        <f t="shared" ref="J19:P19" si="5">J12+J17</f>
        <v>66.599999999999966</v>
      </c>
      <c r="K19" s="460">
        <f t="shared" si="5"/>
        <v>-222</v>
      </c>
      <c r="L19" s="22">
        <f t="shared" si="5"/>
        <v>0</v>
      </c>
      <c r="M19" s="22">
        <f t="shared" si="5"/>
        <v>0</v>
      </c>
      <c r="N19" s="22">
        <f t="shared" si="5"/>
        <v>0</v>
      </c>
      <c r="O19" s="22">
        <f t="shared" si="5"/>
        <v>0</v>
      </c>
      <c r="P19" s="22">
        <f t="shared" si="5"/>
        <v>0</v>
      </c>
    </row>
    <row r="20" spans="1:18">
      <c r="J20" s="141"/>
      <c r="K20" s="140"/>
    </row>
    <row r="21" spans="1:18">
      <c r="A21" s="642" t="s">
        <v>43</v>
      </c>
      <c r="B21" s="237" t="s">
        <v>167</v>
      </c>
      <c r="C21" s="214"/>
      <c r="D21" s="214"/>
      <c r="E21" s="213"/>
      <c r="F21" s="213"/>
      <c r="G21" s="213"/>
      <c r="H21" s="41"/>
      <c r="I21" s="213"/>
      <c r="J21" s="214"/>
      <c r="K21" s="238"/>
      <c r="L21" s="213"/>
      <c r="M21" s="570"/>
      <c r="N21" s="570"/>
      <c r="O21" s="570"/>
      <c r="P21" s="570"/>
    </row>
    <row r="22" spans="1:18">
      <c r="B22" s="237"/>
      <c r="C22" s="214" t="s">
        <v>56</v>
      </c>
      <c r="D22" s="214"/>
      <c r="E22" s="213"/>
      <c r="F22" s="213"/>
      <c r="G22" s="213"/>
      <c r="H22" s="213"/>
      <c r="I22" s="400"/>
      <c r="J22" s="446"/>
      <c r="K22" s="464"/>
      <c r="L22" s="239">
        <f>K25</f>
        <v>160.6</v>
      </c>
      <c r="M22" s="239">
        <f>L25</f>
        <v>169.94499999999999</v>
      </c>
      <c r="N22" s="239">
        <f>M25</f>
        <v>179.98999999999998</v>
      </c>
      <c r="O22" s="239">
        <f>N25</f>
        <v>190.73499999999996</v>
      </c>
      <c r="P22" s="239">
        <f>O25</f>
        <v>202.17999999999995</v>
      </c>
      <c r="R22" s="58" t="s">
        <v>94</v>
      </c>
    </row>
    <row r="23" spans="1:18">
      <c r="B23" s="226"/>
      <c r="C23" s="226" t="s">
        <v>168</v>
      </c>
      <c r="D23" s="226"/>
      <c r="E23" s="226"/>
      <c r="F23" s="226"/>
      <c r="G23" s="226"/>
      <c r="H23" s="226"/>
      <c r="I23" s="401"/>
      <c r="J23" s="447"/>
      <c r="K23" s="465"/>
      <c r="L23" s="571">
        <v>26.7</v>
      </c>
      <c r="M23" s="240">
        <f>L23+$R23</f>
        <v>28.7</v>
      </c>
      <c r="N23" s="240">
        <f>M23+$R23</f>
        <v>30.7</v>
      </c>
      <c r="O23" s="240">
        <f>N23+$R23</f>
        <v>32.700000000000003</v>
      </c>
      <c r="P23" s="240">
        <f>O23+$R23</f>
        <v>34.700000000000003</v>
      </c>
      <c r="R23" s="98">
        <v>2</v>
      </c>
    </row>
    <row r="24" spans="1:18">
      <c r="B24" s="226"/>
      <c r="C24" s="226" t="s">
        <v>205</v>
      </c>
      <c r="D24" s="226"/>
      <c r="E24" s="226"/>
      <c r="H24" s="226"/>
      <c r="I24" s="291"/>
      <c r="J24" s="448"/>
      <c r="K24" s="466"/>
      <c r="L24" s="249">
        <f>-L23*L27</f>
        <v>-17.355</v>
      </c>
      <c r="M24" s="240">
        <f>-M23*M27</f>
        <v>-18.655000000000001</v>
      </c>
      <c r="N24" s="240">
        <f>-N23*N27</f>
        <v>-19.955000000000002</v>
      </c>
      <c r="O24" s="240">
        <f>-O23*O27</f>
        <v>-21.255000000000003</v>
      </c>
      <c r="P24" s="240">
        <f>-P23*P27</f>
        <v>-22.555000000000003</v>
      </c>
    </row>
    <row r="25" spans="1:18">
      <c r="A25" s="642" t="s">
        <v>43</v>
      </c>
      <c r="B25" s="63"/>
      <c r="C25" s="63" t="s">
        <v>57</v>
      </c>
      <c r="D25" s="63"/>
      <c r="E25" s="63"/>
      <c r="F25" s="63"/>
      <c r="G25" s="63"/>
      <c r="H25" s="63"/>
      <c r="I25" s="242">
        <f>bs!I18</f>
        <v>130.5</v>
      </c>
      <c r="J25" s="242">
        <f>bs!J18</f>
        <v>141.69999999999999</v>
      </c>
      <c r="K25" s="467">
        <f>bs!K18</f>
        <v>160.6</v>
      </c>
      <c r="L25" s="243">
        <f>SUM(L22:L24)</f>
        <v>169.94499999999999</v>
      </c>
      <c r="M25" s="243">
        <f>SUM(M22:M24)</f>
        <v>179.98999999999998</v>
      </c>
      <c r="N25" s="243">
        <f>SUM(N22:N24)</f>
        <v>190.73499999999996</v>
      </c>
      <c r="O25" s="243">
        <f>SUM(O22:O24)</f>
        <v>202.17999999999995</v>
      </c>
      <c r="P25" s="243">
        <f>SUM(P22:P24)</f>
        <v>214.32499999999993</v>
      </c>
    </row>
    <row r="26" spans="1:18">
      <c r="F26" s="398"/>
      <c r="L26" s="213"/>
    </row>
    <row r="27" spans="1:18">
      <c r="K27" s="192" t="s">
        <v>68</v>
      </c>
      <c r="L27" s="225">
        <v>0.65</v>
      </c>
      <c r="M27" s="458">
        <f>L27</f>
        <v>0.65</v>
      </c>
      <c r="N27" s="458">
        <f>M27</f>
        <v>0.65</v>
      </c>
      <c r="O27" s="458">
        <f>N27</f>
        <v>0.65</v>
      </c>
      <c r="P27" s="458">
        <f>O27</f>
        <v>0.65</v>
      </c>
    </row>
    <row r="28" spans="1:18">
      <c r="A28" s="642" t="s">
        <v>43</v>
      </c>
      <c r="B28" s="69" t="s">
        <v>49</v>
      </c>
    </row>
  </sheetData>
  <phoneticPr fontId="64" type="noConversion"/>
  <pageMargins left="0.5" right="0.5" top="0.5" bottom="0.65" header="0.25" footer="0.25"/>
  <pageSetup scale="95" orientation="landscape" r:id="rId1"/>
  <headerFooter alignWithMargins="0">
    <oddFooter>&amp;C&amp;8&amp;G&amp;R&amp;8For training purposes only!&amp;L&amp;8COPYRIGHT 2017 © by Training The Street, Inc</oddFooter>
  </headerFooter>
  <legacyDrawing r:id="rId2"/>
  <legacyDrawingHF r:id="rId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AA32"/>
  <sheetViews>
    <sheetView showGridLines="0" zoomScaleSheetLayoutView="100" workbookViewId="0"/>
  </sheetViews>
  <sheetFormatPr defaultColWidth="8.85546875" defaultRowHeight="13.15" customHeight="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7" width="2.7109375" customWidth="1"/>
    <col min="18" max="21" width="9.140625" customWidth="1"/>
  </cols>
  <sheetData>
    <row r="1" spans="1:18" ht="18.75" thickBot="1">
      <c r="B1" s="14" t="str">
        <f>"Shareholders' Equity Schedule for "&amp;name</f>
        <v>Shareholders' Equity Schedule for McCormick &amp; Co. Inc.</v>
      </c>
    </row>
    <row r="2" spans="1:18" ht="12.75">
      <c r="B2" s="2" t="str">
        <f>Subheader</f>
        <v>Dollars in millions, except per share data</v>
      </c>
      <c r="C2" s="256"/>
      <c r="D2" s="256"/>
      <c r="E2" s="256"/>
      <c r="F2" s="256"/>
      <c r="G2" s="256"/>
      <c r="H2" s="256"/>
      <c r="I2" s="256"/>
      <c r="J2" s="256"/>
      <c r="K2" s="256"/>
      <c r="L2" s="256"/>
      <c r="M2" s="256"/>
      <c r="N2" s="256"/>
      <c r="O2" s="256"/>
      <c r="P2" s="256"/>
    </row>
    <row r="4" spans="1:18" ht="12.75">
      <c r="I4" s="18" t="str">
        <f>is!I4</f>
        <v>Historical Year Ending November 30,</v>
      </c>
      <c r="J4" s="248"/>
      <c r="K4" s="248"/>
      <c r="L4" s="104" t="str">
        <f>is!L4</f>
        <v>Projected Year Ending November 30,</v>
      </c>
      <c r="M4" s="231"/>
      <c r="N4" s="231"/>
      <c r="O4" s="231"/>
      <c r="P4" s="231"/>
    </row>
    <row r="5" spans="1:18" ht="12.75">
      <c r="I5" s="86">
        <f>is!I$5</f>
        <v>2011</v>
      </c>
      <c r="J5" s="434">
        <f>is!J$5</f>
        <v>2012</v>
      </c>
      <c r="K5" s="232">
        <f>is!K$5</f>
        <v>2013</v>
      </c>
      <c r="L5" s="590">
        <f>is!L$5</f>
        <v>2014</v>
      </c>
      <c r="M5" s="86">
        <f>is!M$5</f>
        <v>2015</v>
      </c>
      <c r="N5" s="86">
        <f>is!N$5</f>
        <v>2016</v>
      </c>
      <c r="O5" s="86">
        <f>is!O$5</f>
        <v>2017</v>
      </c>
      <c r="P5" s="86">
        <f>is!P$5</f>
        <v>2018</v>
      </c>
    </row>
    <row r="6" spans="1:18" ht="12.75">
      <c r="J6" s="27"/>
      <c r="K6" s="257"/>
      <c r="L6" s="141"/>
    </row>
    <row r="7" spans="1:18" ht="12.75">
      <c r="A7" s="642" t="s">
        <v>43</v>
      </c>
      <c r="B7" t="s">
        <v>122</v>
      </c>
      <c r="I7" s="258"/>
      <c r="J7" s="453"/>
      <c r="K7" s="614"/>
      <c r="L7" s="224">
        <f>K13</f>
        <v>1947.7</v>
      </c>
      <c r="M7" s="217">
        <f t="shared" ref="M7:P7" ca="1" si="0">L13</f>
        <v>2122.6747941087633</v>
      </c>
      <c r="N7" s="217">
        <f t="shared" ca="1" si="0"/>
        <v>2309.3715986941397</v>
      </c>
      <c r="O7" s="217">
        <f t="shared" ca="1" si="0"/>
        <v>2507.8711866082317</v>
      </c>
      <c r="P7" s="217">
        <f t="shared" ca="1" si="0"/>
        <v>2719.7282968485742</v>
      </c>
    </row>
    <row r="8" spans="1:18" ht="12.75">
      <c r="C8" t="s">
        <v>58</v>
      </c>
      <c r="I8" s="259"/>
      <c r="J8" s="454"/>
      <c r="K8" s="615"/>
      <c r="L8" s="591">
        <f ca="1">is!L25</f>
        <v>444.21498382996754</v>
      </c>
      <c r="M8" s="530">
        <f ca="1">is!M25</f>
        <v>481.282472383195</v>
      </c>
      <c r="N8" s="530">
        <f ca="1">is!N25</f>
        <v>515.39349453562272</v>
      </c>
      <c r="O8" s="530">
        <f ca="1">is!O25</f>
        <v>553.66655387441847</v>
      </c>
      <c r="P8" s="530">
        <f ca="1">is!P25</f>
        <v>595.17320447941108</v>
      </c>
    </row>
    <row r="9" spans="1:18" ht="12.75">
      <c r="C9" s="17" t="s">
        <v>52</v>
      </c>
      <c r="I9" s="259"/>
      <c r="J9" s="454"/>
      <c r="K9" s="615"/>
      <c r="L9" s="62">
        <v>18.7</v>
      </c>
      <c r="M9" s="23">
        <f>L9</f>
        <v>18.7</v>
      </c>
      <c r="N9" s="23">
        <f>M9</f>
        <v>18.7</v>
      </c>
      <c r="O9" s="23">
        <f>N9</f>
        <v>18.7</v>
      </c>
      <c r="P9" s="23">
        <f>O9</f>
        <v>18.7</v>
      </c>
    </row>
    <row r="10" spans="1:18" ht="12.75">
      <c r="C10" t="s">
        <v>79</v>
      </c>
      <c r="I10" s="259"/>
      <c r="J10" s="454"/>
      <c r="K10" s="615"/>
      <c r="L10" s="252">
        <f ca="1">-L20</f>
        <v>-159.6384469977186</v>
      </c>
      <c r="M10" s="252">
        <f t="shared" ref="M10:P10" ca="1" si="1">-M20</f>
        <v>-174.07894489397879</v>
      </c>
      <c r="N10" s="252">
        <f t="shared" ca="1" si="1"/>
        <v>-187.63127794935485</v>
      </c>
      <c r="O10" s="252">
        <f t="shared" ca="1" si="1"/>
        <v>-202.88649033006658</v>
      </c>
      <c r="P10" s="252">
        <f t="shared" ca="1" si="1"/>
        <v>-219.53583547095334</v>
      </c>
    </row>
    <row r="11" spans="1:18" ht="12.75">
      <c r="C11" s="16" t="s">
        <v>8</v>
      </c>
      <c r="I11" s="259"/>
      <c r="J11" s="454"/>
      <c r="K11" s="615"/>
      <c r="L11" s="252">
        <f ca="1">-L28</f>
        <v>-199.8967427234854</v>
      </c>
      <c r="M11" s="205">
        <f t="shared" ref="M11:P11" ca="1" si="2">-M28</f>
        <v>-210.80172290383942</v>
      </c>
      <c r="N11" s="205">
        <f t="shared" ca="1" si="2"/>
        <v>-219.55762867217527</v>
      </c>
      <c r="O11" s="205">
        <f t="shared" ca="1" si="2"/>
        <v>-229.21795330400923</v>
      </c>
      <c r="P11" s="205">
        <f t="shared" ca="1" si="2"/>
        <v>-239.25962820072323</v>
      </c>
    </row>
    <row r="12" spans="1:18" ht="12.75">
      <c r="C12" t="s">
        <v>53</v>
      </c>
      <c r="I12" s="258"/>
      <c r="J12" s="453"/>
      <c r="K12" s="614"/>
      <c r="L12" s="252">
        <f>L25</f>
        <v>71.594999999999999</v>
      </c>
      <c r="M12" s="205">
        <f t="shared" ref="M12:P12" si="3">M25</f>
        <v>71.594999999999999</v>
      </c>
      <c r="N12" s="205">
        <f t="shared" si="3"/>
        <v>71.594999999999999</v>
      </c>
      <c r="O12" s="205">
        <f t="shared" si="3"/>
        <v>71.594999999999999</v>
      </c>
      <c r="P12" s="205">
        <f t="shared" si="3"/>
        <v>71.594999999999999</v>
      </c>
    </row>
    <row r="13" spans="1:18" ht="12.75">
      <c r="A13" s="642" t="s">
        <v>43</v>
      </c>
      <c r="B13" t="s">
        <v>123</v>
      </c>
      <c r="I13" s="250">
        <f>bs!I30</f>
        <v>1618.5</v>
      </c>
      <c r="J13" s="250">
        <f>bs!J30</f>
        <v>1700.2</v>
      </c>
      <c r="K13" s="251">
        <f>bs!K30</f>
        <v>1947.7</v>
      </c>
      <c r="L13" s="261">
        <f ca="1">SUM(L7:L12)</f>
        <v>2122.6747941087633</v>
      </c>
      <c r="M13" s="261">
        <f t="shared" ref="M13:P13" ca="1" si="4">SUM(M7:M12)</f>
        <v>2309.3715986941397</v>
      </c>
      <c r="N13" s="261">
        <f t="shared" ca="1" si="4"/>
        <v>2507.8711866082317</v>
      </c>
      <c r="O13" s="261">
        <f t="shared" ca="1" si="4"/>
        <v>2719.7282968485742</v>
      </c>
      <c r="P13" s="261">
        <f t="shared" ca="1" si="4"/>
        <v>2946.4010376563087</v>
      </c>
      <c r="R13" s="260"/>
    </row>
    <row r="14" spans="1:18" ht="12.75">
      <c r="J14" s="27"/>
      <c r="K14" s="257"/>
      <c r="L14" s="141"/>
      <c r="R14" s="260"/>
    </row>
    <row r="15" spans="1:18" ht="12.75">
      <c r="B15" s="4" t="s">
        <v>59</v>
      </c>
      <c r="J15" s="27"/>
      <c r="K15" s="257"/>
      <c r="L15" s="141"/>
      <c r="Q15" s="41"/>
      <c r="R15" s="262"/>
    </row>
    <row r="16" spans="1:18" ht="12.75">
      <c r="B16" s="16"/>
      <c r="C16" s="16" t="s">
        <v>60</v>
      </c>
      <c r="I16" s="263"/>
      <c r="J16" s="455"/>
      <c r="K16" s="616"/>
      <c r="L16" s="592">
        <f ca="1">is!L29</f>
        <v>3.3608094104782862</v>
      </c>
      <c r="M16" s="592">
        <f ca="1">is!M29</f>
        <v>3.6648198925048168</v>
      </c>
      <c r="N16" s="592">
        <f ca="1">is!N29</f>
        <v>3.9501321673548393</v>
      </c>
      <c r="O16" s="592">
        <f ca="1">is!O29</f>
        <v>4.2712945332645589</v>
      </c>
      <c r="P16" s="592">
        <f ca="1">is!P29</f>
        <v>4.6218070625463863</v>
      </c>
      <c r="R16" s="58" t="s">
        <v>94</v>
      </c>
    </row>
    <row r="17" spans="1:27" ht="12.75">
      <c r="C17" t="s">
        <v>124</v>
      </c>
      <c r="I17" s="263"/>
      <c r="J17" s="455"/>
      <c r="K17" s="616"/>
      <c r="L17" s="593">
        <v>19</v>
      </c>
      <c r="M17" s="264">
        <f>L17+$R17</f>
        <v>19</v>
      </c>
      <c r="N17" s="264">
        <f t="shared" ref="N17:P19" si="5">M17+$R17</f>
        <v>19</v>
      </c>
      <c r="O17" s="264">
        <f t="shared" si="5"/>
        <v>19</v>
      </c>
      <c r="P17" s="264">
        <f t="shared" si="5"/>
        <v>19</v>
      </c>
      <c r="R17" s="531">
        <v>0</v>
      </c>
    </row>
    <row r="18" spans="1:27" ht="12.75">
      <c r="C18" s="16" t="s">
        <v>61</v>
      </c>
      <c r="I18" s="263"/>
      <c r="J18" s="455"/>
      <c r="K18" s="616"/>
      <c r="L18" s="514">
        <f ca="1">L16*L17</f>
        <v>63.85537879908744</v>
      </c>
      <c r="M18" s="514">
        <f t="shared" ref="M18:P18" ca="1" si="6">M16*M17</f>
        <v>69.631577957591517</v>
      </c>
      <c r="N18" s="514">
        <f t="shared" ca="1" si="6"/>
        <v>75.052511179741941</v>
      </c>
      <c r="O18" s="514">
        <f t="shared" ca="1" si="6"/>
        <v>81.154596132026626</v>
      </c>
      <c r="P18" s="514">
        <f t="shared" ca="1" si="6"/>
        <v>87.814334188381338</v>
      </c>
      <c r="Q18" s="41"/>
      <c r="R18" s="516"/>
    </row>
    <row r="19" spans="1:27" ht="12.75">
      <c r="C19" t="s">
        <v>62</v>
      </c>
      <c r="I19" s="266">
        <v>1.9</v>
      </c>
      <c r="J19" s="266">
        <v>2.4</v>
      </c>
      <c r="K19" s="617">
        <v>2.7</v>
      </c>
      <c r="L19" s="281">
        <v>2.5</v>
      </c>
      <c r="M19" s="272">
        <f>L19+$R19</f>
        <v>2.5</v>
      </c>
      <c r="N19" s="272">
        <f t="shared" si="5"/>
        <v>2.5</v>
      </c>
      <c r="O19" s="272">
        <f t="shared" si="5"/>
        <v>2.5</v>
      </c>
      <c r="P19" s="272">
        <f t="shared" si="5"/>
        <v>2.5</v>
      </c>
      <c r="Q19" s="267"/>
      <c r="R19" s="532">
        <v>0</v>
      </c>
      <c r="AA19" s="30"/>
    </row>
    <row r="20" spans="1:27" ht="12.75">
      <c r="A20" s="642" t="s">
        <v>43</v>
      </c>
      <c r="B20" s="16"/>
      <c r="C20" s="16" t="s">
        <v>63</v>
      </c>
      <c r="D20" s="16"/>
      <c r="E20" s="16"/>
      <c r="F20" s="16"/>
      <c r="G20" s="16"/>
      <c r="H20" s="16"/>
      <c r="I20" s="268">
        <v>89.3</v>
      </c>
      <c r="J20" s="268">
        <v>132.19999999999999</v>
      </c>
      <c r="K20" s="618">
        <v>177.4</v>
      </c>
      <c r="L20" s="224">
        <f ca="1">L18*L19</f>
        <v>159.6384469977186</v>
      </c>
      <c r="M20" s="224">
        <f t="shared" ref="M20:P20" ca="1" si="7">M18*M19</f>
        <v>174.07894489397879</v>
      </c>
      <c r="N20" s="224">
        <f t="shared" ca="1" si="7"/>
        <v>187.63127794935485</v>
      </c>
      <c r="O20" s="224">
        <f t="shared" ca="1" si="7"/>
        <v>202.88649033006658</v>
      </c>
      <c r="P20" s="224">
        <f t="shared" ca="1" si="7"/>
        <v>219.53583547095334</v>
      </c>
      <c r="Q20" s="16"/>
    </row>
    <row r="21" spans="1:27" ht="12.75">
      <c r="B21" s="63"/>
      <c r="C21" s="269"/>
      <c r="D21" s="269"/>
      <c r="E21" s="269"/>
      <c r="F21" s="269"/>
      <c r="G21" s="269"/>
      <c r="H21" s="269"/>
      <c r="I21" s="270"/>
      <c r="J21" s="456"/>
      <c r="K21" s="619"/>
      <c r="L21" s="594"/>
      <c r="M21" s="271"/>
      <c r="N21" s="271"/>
      <c r="O21" s="271"/>
      <c r="P21" s="271"/>
      <c r="Q21" s="63"/>
    </row>
    <row r="22" spans="1:27" ht="12.75">
      <c r="B22" s="4" t="s">
        <v>64</v>
      </c>
      <c r="J22" s="278"/>
      <c r="K22" s="257"/>
      <c r="L22" s="594"/>
    </row>
    <row r="23" spans="1:27" ht="12.75">
      <c r="C23" t="s">
        <v>65</v>
      </c>
      <c r="I23" s="266">
        <f>1.4+0.5</f>
        <v>1.9</v>
      </c>
      <c r="J23" s="266">
        <f>2+0.6</f>
        <v>2.6</v>
      </c>
      <c r="K23" s="617">
        <f>1.1+0.3</f>
        <v>1.4000000000000001</v>
      </c>
      <c r="L23" s="281">
        <v>1.5</v>
      </c>
      <c r="M23" s="272">
        <f>L23+$R23</f>
        <v>1.5</v>
      </c>
      <c r="N23" s="272">
        <f>M23+$R23</f>
        <v>1.5</v>
      </c>
      <c r="O23" s="272">
        <f>N23+$R23</f>
        <v>1.5</v>
      </c>
      <c r="P23" s="272">
        <f>O23+$R23</f>
        <v>1.5</v>
      </c>
      <c r="R23" s="532">
        <v>0</v>
      </c>
    </row>
    <row r="24" spans="1:27" ht="12.75">
      <c r="C24" s="16" t="s">
        <v>66</v>
      </c>
      <c r="F24" s="41"/>
      <c r="G24" s="41"/>
      <c r="H24" s="265"/>
      <c r="I24" s="258"/>
      <c r="J24" s="453"/>
      <c r="K24" s="620"/>
      <c r="L24" s="595">
        <v>47.73</v>
      </c>
      <c r="M24" s="265">
        <f>L24</f>
        <v>47.73</v>
      </c>
      <c r="N24" s="265">
        <f>M24</f>
        <v>47.73</v>
      </c>
      <c r="O24" s="265">
        <f>N24</f>
        <v>47.73</v>
      </c>
      <c r="P24" s="265">
        <f>O24</f>
        <v>47.73</v>
      </c>
      <c r="R24" s="533"/>
    </row>
    <row r="25" spans="1:27" ht="12.75">
      <c r="A25" s="642" t="s">
        <v>43</v>
      </c>
      <c r="B25" s="16"/>
      <c r="C25" t="s">
        <v>53</v>
      </c>
      <c r="D25" s="16"/>
      <c r="E25" s="16"/>
      <c r="F25" s="16"/>
      <c r="G25" s="16"/>
      <c r="H25" s="16"/>
      <c r="I25" s="268">
        <v>58</v>
      </c>
      <c r="J25" s="268">
        <v>53.1</v>
      </c>
      <c r="K25" s="618">
        <v>44.7</v>
      </c>
      <c r="L25" s="224">
        <f>L23*L24</f>
        <v>71.594999999999999</v>
      </c>
      <c r="M25" s="224">
        <f t="shared" ref="M25:P25" si="8">M23*M24</f>
        <v>71.594999999999999</v>
      </c>
      <c r="N25" s="224">
        <f t="shared" si="8"/>
        <v>71.594999999999999</v>
      </c>
      <c r="O25" s="224">
        <f t="shared" si="8"/>
        <v>71.594999999999999</v>
      </c>
      <c r="P25" s="224">
        <f t="shared" si="8"/>
        <v>71.594999999999999</v>
      </c>
      <c r="Q25" s="16"/>
      <c r="R25" s="534"/>
    </row>
    <row r="26" spans="1:27" ht="12.75">
      <c r="I26" s="273"/>
      <c r="J26" s="407"/>
      <c r="K26" s="621"/>
      <c r="L26" s="596"/>
      <c r="M26" s="233"/>
      <c r="N26" s="233"/>
      <c r="O26" s="233"/>
      <c r="P26" s="233"/>
      <c r="R26" s="516"/>
    </row>
    <row r="27" spans="1:27" ht="12.75">
      <c r="B27" s="4" t="s">
        <v>67</v>
      </c>
      <c r="J27" s="27"/>
      <c r="K27" s="257"/>
      <c r="L27" s="141"/>
      <c r="R27" s="516"/>
    </row>
    <row r="28" spans="1:27" ht="12.75">
      <c r="C28" s="16" t="s">
        <v>8</v>
      </c>
      <c r="D28" s="16"/>
      <c r="E28" s="16"/>
      <c r="F28" s="16"/>
      <c r="G28" s="16"/>
      <c r="H28" s="16"/>
      <c r="I28" s="83">
        <v>152.5</v>
      </c>
      <c r="J28" s="457">
        <v>168.4</v>
      </c>
      <c r="K28" s="622">
        <v>183.3</v>
      </c>
      <c r="L28" s="224">
        <f t="shared" ref="L28:P28" ca="1" si="9">L30*L29</f>
        <v>199.8967427234854</v>
      </c>
      <c r="M28" s="224">
        <f t="shared" ca="1" si="9"/>
        <v>210.80172290383942</v>
      </c>
      <c r="N28" s="224">
        <f t="shared" ca="1" si="9"/>
        <v>219.55762867217527</v>
      </c>
      <c r="O28" s="224">
        <f t="shared" ca="1" si="9"/>
        <v>229.21795330400923</v>
      </c>
      <c r="P28" s="224">
        <f t="shared" ca="1" si="9"/>
        <v>239.25962820072323</v>
      </c>
      <c r="R28" s="516"/>
    </row>
    <row r="29" spans="1:27" ht="12.75">
      <c r="C29" t="s">
        <v>58</v>
      </c>
      <c r="I29" s="25">
        <f>is!I25</f>
        <v>381.90629999999999</v>
      </c>
      <c r="J29" s="25">
        <f>is!J25</f>
        <v>409.00189999999975</v>
      </c>
      <c r="K29" s="105">
        <f>is!K25</f>
        <v>421.24009999999993</v>
      </c>
      <c r="L29" s="101">
        <f ca="1">is!L25</f>
        <v>444.21498382996754</v>
      </c>
      <c r="M29" s="101">
        <f ca="1">is!M25</f>
        <v>481.282472383195</v>
      </c>
      <c r="N29" s="101">
        <f ca="1">is!N25</f>
        <v>515.39349453562272</v>
      </c>
      <c r="O29" s="101">
        <f ca="1">is!O25</f>
        <v>553.66655387441847</v>
      </c>
      <c r="P29" s="101">
        <f ca="1">is!P25</f>
        <v>595.17320447941108</v>
      </c>
      <c r="R29" s="516"/>
    </row>
    <row r="30" spans="1:27" ht="12.75">
      <c r="B30" s="16"/>
      <c r="C30" t="s">
        <v>68</v>
      </c>
      <c r="I30" s="274">
        <f t="shared" ref="I30:K30" si="10">I28/I29</f>
        <v>0.399312606259703</v>
      </c>
      <c r="J30" s="274">
        <f t="shared" si="10"/>
        <v>0.41173402861942721</v>
      </c>
      <c r="K30" s="623">
        <f t="shared" si="10"/>
        <v>0.43514375768118951</v>
      </c>
      <c r="L30" s="442">
        <v>0.45</v>
      </c>
      <c r="M30" s="275">
        <f>L30+$R30</f>
        <v>0.438</v>
      </c>
      <c r="N30" s="275">
        <f>M30+$R30</f>
        <v>0.42599999999999999</v>
      </c>
      <c r="O30" s="275">
        <f>N30+$R30</f>
        <v>0.41399999999999998</v>
      </c>
      <c r="P30" s="275">
        <f>O30+$R30</f>
        <v>0.40199999999999997</v>
      </c>
      <c r="Q30" s="16"/>
      <c r="R30" s="535">
        <v>-1.2E-2</v>
      </c>
    </row>
    <row r="31" spans="1:27" ht="12.75">
      <c r="B31" s="16"/>
      <c r="C31" s="16"/>
      <c r="I31" s="276"/>
      <c r="J31" s="276"/>
      <c r="K31" s="276"/>
      <c r="L31" s="276"/>
      <c r="M31" s="276"/>
      <c r="N31" s="276"/>
      <c r="O31" s="276"/>
      <c r="P31" s="276"/>
      <c r="Q31" s="16"/>
    </row>
    <row r="32" spans="1:27" ht="12.75">
      <c r="A32" s="642" t="s">
        <v>43</v>
      </c>
      <c r="B32" s="69" t="s">
        <v>49</v>
      </c>
      <c r="I32" s="506"/>
      <c r="J32" s="506"/>
      <c r="K32" s="506"/>
      <c r="L32" s="312"/>
      <c r="N32" s="277"/>
      <c r="O32" s="277"/>
      <c r="P32" s="277"/>
    </row>
  </sheetData>
  <phoneticPr fontId="64" type="noConversion"/>
  <pageMargins left="0.5" right="0.5" top="0.5" bottom="0.65" header="0.25" footer="0.25"/>
  <pageSetup scale="95" orientation="landscape" r:id="rId1"/>
  <headerFooter alignWithMargins="0">
    <oddFooter>&amp;C&amp;8&amp;G&amp;R&amp;8For training purposes only!&amp;L&amp;8COPYRIGHT 2017 © by Training The Street, Inc</oddFooter>
  </headerFooter>
  <legacyDrawing r:id="rId2"/>
  <legacyDrawingHF r:id="rId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pageSetUpPr fitToPage="1"/>
  </sheetPr>
  <dimension ref="A1:P18"/>
  <sheetViews>
    <sheetView showGridLines="0" zoomScaleSheetLayoutView="100" workbookViewId="0"/>
  </sheetViews>
  <sheetFormatPr defaultColWidth="8.85546875" defaultRowHeight="13.15" customHeight="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7" width="9.140625" customWidth="1"/>
  </cols>
  <sheetData>
    <row r="1" spans="1:16" ht="18.75" thickBot="1">
      <c r="B1" s="14" t="str">
        <f>"Shares Outstanding Table for "&amp;name</f>
        <v>Shares Outstanding Table for McCormick &amp; Co. Inc.</v>
      </c>
    </row>
    <row r="2" spans="1:16" ht="12.75">
      <c r="B2" s="2" t="str">
        <f>Subheader</f>
        <v>Dollars in millions, except per share data</v>
      </c>
      <c r="C2" s="256"/>
      <c r="D2" s="256"/>
      <c r="E2" s="256"/>
      <c r="F2" s="256"/>
      <c r="G2" s="256"/>
      <c r="H2" s="256"/>
      <c r="I2" s="256"/>
      <c r="J2" s="256"/>
      <c r="K2" s="256"/>
      <c r="L2" s="256"/>
      <c r="M2" s="256"/>
      <c r="N2" s="256"/>
      <c r="O2" s="256"/>
      <c r="P2" s="256"/>
    </row>
    <row r="4" spans="1:16" ht="12.75">
      <c r="I4" s="18" t="str">
        <f>is!I4</f>
        <v>Historical Year Ending November 30,</v>
      </c>
      <c r="J4" s="248"/>
      <c r="K4" s="248"/>
      <c r="L4" s="18" t="str">
        <f>is!L4</f>
        <v>Projected Year Ending November 30,</v>
      </c>
      <c r="M4" s="231"/>
      <c r="N4" s="231"/>
      <c r="O4" s="231"/>
      <c r="P4" s="231"/>
    </row>
    <row r="5" spans="1:16" ht="12.75">
      <c r="I5" s="434">
        <f>is!I$5</f>
        <v>2011</v>
      </c>
      <c r="J5" s="434">
        <f>is!J$5</f>
        <v>2012</v>
      </c>
      <c r="K5" s="232">
        <f>is!K$5</f>
        <v>2013</v>
      </c>
      <c r="L5" s="434">
        <f>is!L$5</f>
        <v>2014</v>
      </c>
      <c r="M5" s="434">
        <f>is!M$5</f>
        <v>2015</v>
      </c>
      <c r="N5" s="434">
        <f>is!N$5</f>
        <v>2016</v>
      </c>
      <c r="O5" s="434">
        <f>is!O$5</f>
        <v>2017</v>
      </c>
      <c r="P5" s="434">
        <f>is!P$5</f>
        <v>2018</v>
      </c>
    </row>
    <row r="6" spans="1:16" ht="12.75">
      <c r="B6" s="4"/>
      <c r="I6" s="141"/>
      <c r="J6" s="27"/>
      <c r="K6" s="257"/>
      <c r="L6" s="141"/>
      <c r="M6" s="141"/>
      <c r="N6" s="141"/>
      <c r="O6" s="141"/>
      <c r="P6" s="141"/>
    </row>
    <row r="7" spans="1:16" s="27" customFormat="1" ht="12.75">
      <c r="A7" s="642" t="s">
        <v>43</v>
      </c>
      <c r="B7" s="27" t="s">
        <v>176</v>
      </c>
      <c r="I7" s="443"/>
      <c r="J7" s="443"/>
      <c r="K7" s="468"/>
      <c r="L7" s="278">
        <f>K11</f>
        <v>131.1</v>
      </c>
      <c r="M7" s="278">
        <f>L11</f>
        <v>130.25</v>
      </c>
      <c r="N7" s="278">
        <f>M11</f>
        <v>129.4</v>
      </c>
      <c r="O7" s="278">
        <f>N11</f>
        <v>128.55000000000001</v>
      </c>
      <c r="P7" s="278">
        <f>O11</f>
        <v>127.70000000000002</v>
      </c>
    </row>
    <row r="8" spans="1:16" s="27" customFormat="1" ht="12.75">
      <c r="A8" s="642"/>
      <c r="C8" s="27" t="s">
        <v>177</v>
      </c>
      <c r="I8" s="444"/>
      <c r="J8" s="444"/>
      <c r="K8" s="469"/>
      <c r="L8" s="279">
        <f>equity!L23</f>
        <v>1.5</v>
      </c>
      <c r="M8" s="279">
        <f>equity!M23</f>
        <v>1.5</v>
      </c>
      <c r="N8" s="279">
        <f>equity!N23</f>
        <v>1.5</v>
      </c>
      <c r="O8" s="279">
        <f>equity!O23</f>
        <v>1.5</v>
      </c>
      <c r="P8" s="279">
        <f>equity!P23</f>
        <v>1.5</v>
      </c>
    </row>
    <row r="9" spans="1:16" s="27" customFormat="1" ht="12.75">
      <c r="A9" s="642"/>
      <c r="C9" s="27" t="s">
        <v>267</v>
      </c>
      <c r="I9" s="444"/>
      <c r="J9" s="444"/>
      <c r="K9" s="469"/>
      <c r="L9" s="574">
        <v>0.15</v>
      </c>
      <c r="M9" s="278">
        <f>L9</f>
        <v>0.15</v>
      </c>
      <c r="N9" s="278">
        <f>M9</f>
        <v>0.15</v>
      </c>
      <c r="O9" s="278">
        <f>N9</f>
        <v>0.15</v>
      </c>
      <c r="P9" s="278">
        <f>O9</f>
        <v>0.15</v>
      </c>
    </row>
    <row r="10" spans="1:16" ht="12.75">
      <c r="C10" t="s">
        <v>178</v>
      </c>
      <c r="I10" s="443"/>
      <c r="J10" s="443"/>
      <c r="K10" s="468"/>
      <c r="L10" s="279">
        <f>-equity!L19</f>
        <v>-2.5</v>
      </c>
      <c r="M10" s="279">
        <f>-equity!M19</f>
        <v>-2.5</v>
      </c>
      <c r="N10" s="279">
        <f>-equity!N19</f>
        <v>-2.5</v>
      </c>
      <c r="O10" s="279">
        <f>-equity!O19</f>
        <v>-2.5</v>
      </c>
      <c r="P10" s="279">
        <f>-equity!P19</f>
        <v>-2.5</v>
      </c>
    </row>
    <row r="11" spans="1:16" ht="12.75">
      <c r="B11" t="s">
        <v>179</v>
      </c>
      <c r="H11" s="280"/>
      <c r="I11" s="498">
        <f>12.4+120.5</f>
        <v>132.9</v>
      </c>
      <c r="J11" s="498">
        <f>12.4+120.1</f>
        <v>132.5</v>
      </c>
      <c r="K11" s="499">
        <f>12.1+119</f>
        <v>131.1</v>
      </c>
      <c r="L11" s="500">
        <f>SUM(L7:L10)</f>
        <v>130.25</v>
      </c>
      <c r="M11" s="500">
        <f>SUM(M7:M10)</f>
        <v>129.4</v>
      </c>
      <c r="N11" s="500">
        <f>SUM(N7:N10)</f>
        <v>128.55000000000001</v>
      </c>
      <c r="O11" s="500">
        <f>SUM(O7:O10)</f>
        <v>127.70000000000002</v>
      </c>
      <c r="P11" s="500">
        <f>SUM(P7:P10)</f>
        <v>126.85000000000002</v>
      </c>
    </row>
    <row r="12" spans="1:16" ht="12.75">
      <c r="I12" s="281"/>
      <c r="J12" s="281"/>
      <c r="K12" s="470"/>
      <c r="L12" s="569"/>
      <c r="M12" s="278"/>
      <c r="N12" s="278"/>
      <c r="O12" s="278"/>
      <c r="P12" s="278"/>
    </row>
    <row r="13" spans="1:16" ht="12.75">
      <c r="B13" t="s">
        <v>9</v>
      </c>
      <c r="I13" s="281">
        <v>132.69999999999999</v>
      </c>
      <c r="J13" s="281">
        <v>132.69999999999999</v>
      </c>
      <c r="K13" s="470">
        <v>132.1</v>
      </c>
      <c r="L13" s="278">
        <f>AVERAGE(K11:L11)</f>
        <v>130.67500000000001</v>
      </c>
      <c r="M13" s="278">
        <f>AVERAGE(L11:M11)</f>
        <v>129.82499999999999</v>
      </c>
      <c r="N13" s="278">
        <f>AVERAGE(M11:N11)</f>
        <v>128.97500000000002</v>
      </c>
      <c r="O13" s="278">
        <f>AVERAGE(N11:O11)</f>
        <v>128.125</v>
      </c>
      <c r="P13" s="278">
        <f>AVERAGE(O11:P11)</f>
        <v>127.27500000000002</v>
      </c>
    </row>
    <row r="14" spans="1:16" ht="12.75">
      <c r="C14" t="s">
        <v>180</v>
      </c>
      <c r="I14" s="352">
        <f>I15-I13</f>
        <v>1.6000000000000227</v>
      </c>
      <c r="J14" s="352">
        <f>J15-J13</f>
        <v>1.6000000000000227</v>
      </c>
      <c r="K14" s="471">
        <f>K15-K13</f>
        <v>1.5</v>
      </c>
      <c r="L14" s="266">
        <v>1.5</v>
      </c>
      <c r="M14" s="278">
        <f>L14</f>
        <v>1.5</v>
      </c>
      <c r="N14" s="278">
        <f>M14</f>
        <v>1.5</v>
      </c>
      <c r="O14" s="278">
        <f>N14</f>
        <v>1.5</v>
      </c>
      <c r="P14" s="278">
        <f>O14</f>
        <v>1.5</v>
      </c>
    </row>
    <row r="15" spans="1:16" ht="12.75">
      <c r="A15" s="642" t="s">
        <v>43</v>
      </c>
      <c r="B15" t="s">
        <v>181</v>
      </c>
      <c r="I15" s="501">
        <f>is!I27</f>
        <v>134.30000000000001</v>
      </c>
      <c r="J15" s="501">
        <f>is!J27</f>
        <v>134.30000000000001</v>
      </c>
      <c r="K15" s="502">
        <f>is!K27</f>
        <v>133.6</v>
      </c>
      <c r="L15" s="500">
        <f>SUM(L13:L14)</f>
        <v>132.17500000000001</v>
      </c>
      <c r="M15" s="500">
        <f>SUM(M13:M14)</f>
        <v>131.32499999999999</v>
      </c>
      <c r="N15" s="500">
        <f>SUM(N13:N14)</f>
        <v>130.47500000000002</v>
      </c>
      <c r="O15" s="500">
        <f>SUM(O13:O14)</f>
        <v>129.625</v>
      </c>
      <c r="P15" s="500">
        <f>SUM(P13:P14)</f>
        <v>128.77500000000003</v>
      </c>
    </row>
    <row r="16" spans="1:16" ht="12.75">
      <c r="I16" s="283"/>
      <c r="J16" s="283"/>
      <c r="K16" s="283"/>
      <c r="L16" s="283"/>
      <c r="M16" s="283"/>
      <c r="N16" s="283"/>
      <c r="O16" s="283"/>
      <c r="P16" s="283"/>
    </row>
    <row r="17" spans="1:16" ht="12.75">
      <c r="I17" s="567"/>
      <c r="J17" s="284"/>
      <c r="K17" s="392"/>
      <c r="L17" s="409"/>
      <c r="M17" s="409"/>
      <c r="N17" s="409"/>
      <c r="O17" s="409"/>
      <c r="P17" s="409"/>
    </row>
    <row r="18" spans="1:16" ht="12.75">
      <c r="A18" s="642" t="s">
        <v>43</v>
      </c>
      <c r="B18" s="69" t="s">
        <v>49</v>
      </c>
    </row>
  </sheetData>
  <phoneticPr fontId="64" type="noConversion"/>
  <dataValidations count="1">
    <dataValidation type="list" allowBlank="1" showDropDown="1" showInputMessage="1" showErrorMessage="1" errorTitle="Historicals Not Needed" error="Historicals not needed._x000a__x000a_Please only input the ending balance." sqref="I7:K10">
      <formula1>"0"</formula1>
    </dataValidation>
  </dataValidations>
  <pageMargins left="0.5" right="0.5" top="0.5" bottom="0.65" header="0.25" footer="0.25"/>
  <pageSetup scale="91" orientation="landscape" r:id="rId1"/>
  <headerFooter alignWithMargins="0">
    <oddFooter>&amp;C&amp;8&amp;G&amp;R&amp;8For training purposes only!&amp;L&amp;8COPYRIGHT 2017 © by Training The Street, Inc</oddFooter>
  </headerFooter>
  <legacyDrawing r:id="rId2"/>
  <legacyDrawingHF r:id="rId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U47"/>
  <sheetViews>
    <sheetView showGridLines="0" zoomScaleSheetLayoutView="100" workbookViewId="0"/>
  </sheetViews>
  <sheetFormatPr defaultColWidth="8.85546875" defaultRowHeight="13.15" customHeight="1"/>
  <cols>
    <col min="1" max="1" width="1.7109375" style="642" customWidth="1"/>
    <col min="2" max="2" width="2.28515625" customWidth="1"/>
    <col min="3" max="3" width="1.7109375" customWidth="1"/>
    <col min="4" max="6" width="8.28515625" customWidth="1"/>
    <col min="7" max="7" width="10.7109375" customWidth="1"/>
    <col min="8" max="8" width="8.28515625" customWidth="1"/>
    <col min="9" max="16" width="10.7109375" customWidth="1"/>
    <col min="17" max="17" width="2.7109375" customWidth="1"/>
    <col min="18" max="19" width="13.7109375" bestFit="1" customWidth="1"/>
    <col min="20" max="20" width="17.85546875" bestFit="1" customWidth="1"/>
    <col min="21" max="21" width="9.140625" bestFit="1" customWidth="1"/>
  </cols>
  <sheetData>
    <row r="1" spans="1:18" ht="18.75" thickBot="1">
      <c r="B1" s="14" t="str">
        <f>"Debt and Interest Schedule for "&amp;name</f>
        <v>Debt and Interest Schedule for McCormick &amp; Co. Inc.</v>
      </c>
    </row>
    <row r="2" spans="1:18" ht="12.75">
      <c r="B2" s="2" t="str">
        <f>Subheader</f>
        <v>Dollars in millions, except per share data</v>
      </c>
      <c r="C2" s="256"/>
      <c r="D2" s="256"/>
      <c r="E2" s="256"/>
      <c r="F2" s="256"/>
      <c r="G2" s="256"/>
      <c r="H2" s="256"/>
      <c r="I2" s="256"/>
      <c r="J2" s="256"/>
      <c r="K2" s="256"/>
      <c r="L2" s="256"/>
      <c r="M2" s="256"/>
      <c r="N2" s="256"/>
      <c r="O2" s="256"/>
      <c r="P2" s="256"/>
    </row>
    <row r="4" spans="1:18" ht="12.75">
      <c r="I4" s="18" t="str">
        <f>is!I4</f>
        <v>Historical Year Ending November 30,</v>
      </c>
      <c r="J4" s="248"/>
      <c r="K4" s="248"/>
      <c r="L4" s="104" t="str">
        <f>is!L4</f>
        <v>Projected Year Ending November 30,</v>
      </c>
      <c r="M4" s="231"/>
      <c r="N4" s="231"/>
      <c r="O4" s="231"/>
      <c r="P4" s="231"/>
    </row>
    <row r="5" spans="1:18" ht="12.75">
      <c r="I5" s="86">
        <f>is!I$5</f>
        <v>2011</v>
      </c>
      <c r="J5" s="86">
        <f>is!J$5</f>
        <v>2012</v>
      </c>
      <c r="K5" s="232">
        <f>is!K$5</f>
        <v>2013</v>
      </c>
      <c r="L5" s="590">
        <f>is!L$5</f>
        <v>2014</v>
      </c>
      <c r="M5" s="86">
        <f>is!M$5</f>
        <v>2015</v>
      </c>
      <c r="N5" s="86">
        <f>is!N$5</f>
        <v>2016</v>
      </c>
      <c r="O5" s="86">
        <f>is!O$5</f>
        <v>2017</v>
      </c>
      <c r="P5" s="86">
        <f>is!P$5</f>
        <v>2018</v>
      </c>
    </row>
    <row r="6" spans="1:18" ht="12.75">
      <c r="K6" s="140"/>
      <c r="L6" s="141"/>
    </row>
    <row r="7" spans="1:18" ht="12.75">
      <c r="A7" s="642" t="s">
        <v>43</v>
      </c>
      <c r="B7" t="s">
        <v>125</v>
      </c>
      <c r="K7" s="140"/>
      <c r="L7" s="26">
        <f ca="1">cf!L21</f>
        <v>424.37418378394023</v>
      </c>
      <c r="M7" s="24">
        <f ca="1">cf!M21</f>
        <v>459.93531561624923</v>
      </c>
      <c r="N7" s="24">
        <f ca="1">cf!N21</f>
        <v>496.07732751902688</v>
      </c>
      <c r="O7" s="24">
        <f ca="1">cf!O21</f>
        <v>536.67085234164529</v>
      </c>
      <c r="P7" s="24">
        <f ca="1">cf!P21</f>
        <v>580.8450819674257</v>
      </c>
    </row>
    <row r="8" spans="1:18" ht="12.75">
      <c r="C8" t="s">
        <v>79</v>
      </c>
      <c r="K8" s="140"/>
      <c r="L8" s="101">
        <f ca="1">equity!L10</f>
        <v>-159.6384469977186</v>
      </c>
      <c r="M8" s="25">
        <f ca="1">equity!M10</f>
        <v>-174.07894489397879</v>
      </c>
      <c r="N8" s="25">
        <f ca="1">equity!N10</f>
        <v>-187.63127794935485</v>
      </c>
      <c r="O8" s="25">
        <f ca="1">equity!O10</f>
        <v>-202.88649033006658</v>
      </c>
      <c r="P8" s="25">
        <f ca="1">equity!P10</f>
        <v>-219.53583547095334</v>
      </c>
    </row>
    <row r="9" spans="1:18" ht="12.75">
      <c r="C9" s="16" t="s">
        <v>8</v>
      </c>
      <c r="K9" s="140"/>
      <c r="L9" s="101">
        <f ca="1">equity!L11</f>
        <v>-199.8967427234854</v>
      </c>
      <c r="M9" s="25">
        <f ca="1">equity!M11</f>
        <v>-210.80172290383942</v>
      </c>
      <c r="N9" s="25">
        <f ca="1">equity!N11</f>
        <v>-219.55762867217527</v>
      </c>
      <c r="O9" s="25">
        <f ca="1">equity!O11</f>
        <v>-229.21795330400923</v>
      </c>
      <c r="P9" s="25">
        <f ca="1">equity!P11</f>
        <v>-239.25962820072323</v>
      </c>
    </row>
    <row r="10" spans="1:18" ht="12.75">
      <c r="C10" t="s">
        <v>53</v>
      </c>
      <c r="K10" s="140"/>
      <c r="L10" s="101">
        <f>equity!L12</f>
        <v>71.594999999999999</v>
      </c>
      <c r="M10" s="25">
        <f>equity!M12</f>
        <v>71.594999999999999</v>
      </c>
      <c r="N10" s="25">
        <f>equity!N12</f>
        <v>71.594999999999999</v>
      </c>
      <c r="O10" s="25">
        <f>equity!O12</f>
        <v>71.594999999999999</v>
      </c>
      <c r="P10" s="25">
        <f>equity!P12</f>
        <v>71.594999999999999</v>
      </c>
    </row>
    <row r="11" spans="1:18" ht="12.75">
      <c r="C11" t="s">
        <v>126</v>
      </c>
      <c r="K11" s="140"/>
      <c r="L11" s="101">
        <f>bs!K7</f>
        <v>63</v>
      </c>
      <c r="M11" s="25">
        <f ca="1">bs!L7</f>
        <v>50</v>
      </c>
      <c r="N11" s="25">
        <f ca="1">bs!M7</f>
        <v>50</v>
      </c>
      <c r="O11" s="25">
        <f ca="1">bs!N7</f>
        <v>90.16706277866399</v>
      </c>
      <c r="P11" s="25">
        <f ca="1">bs!O7</f>
        <v>50</v>
      </c>
    </row>
    <row r="12" spans="1:18" ht="12.75">
      <c r="A12" s="642" t="s">
        <v>43</v>
      </c>
      <c r="C12" t="s">
        <v>127</v>
      </c>
      <c r="K12" s="140"/>
      <c r="L12" s="20">
        <v>-50</v>
      </c>
      <c r="M12" s="23">
        <f>L12</f>
        <v>-50</v>
      </c>
      <c r="N12" s="23">
        <f>M12</f>
        <v>-50</v>
      </c>
      <c r="O12" s="23">
        <f>N12</f>
        <v>-50</v>
      </c>
      <c r="P12" s="23">
        <f>O12</f>
        <v>-50</v>
      </c>
      <c r="R12" s="41"/>
    </row>
    <row r="13" spans="1:18" s="16" customFormat="1" ht="12.75">
      <c r="A13" s="642"/>
      <c r="B13" s="16" t="s">
        <v>128</v>
      </c>
      <c r="K13" s="257"/>
      <c r="L13" s="261">
        <f ca="1">SUM(L7:L12)</f>
        <v>149.43399406273625</v>
      </c>
      <c r="M13" s="261">
        <f t="shared" ref="M13:P13" ca="1" si="0">SUM(M7:M12)</f>
        <v>146.64964781843099</v>
      </c>
      <c r="N13" s="261">
        <f t="shared" ca="1" si="0"/>
        <v>160.48342089749676</v>
      </c>
      <c r="O13" s="261">
        <f t="shared" ca="1" si="0"/>
        <v>216.32847148623347</v>
      </c>
      <c r="P13" s="261">
        <f t="shared" ca="1" si="0"/>
        <v>193.64461829574915</v>
      </c>
    </row>
    <row r="14" spans="1:18" s="63" customFormat="1" ht="12.75">
      <c r="A14" s="642"/>
      <c r="B14" s="7"/>
      <c r="C14" t="s">
        <v>69</v>
      </c>
      <c r="K14" s="285"/>
      <c r="L14" s="286">
        <f t="shared" ref="L14:P14" si="1">L25</f>
        <v>0</v>
      </c>
      <c r="M14" s="286">
        <f t="shared" si="1"/>
        <v>0</v>
      </c>
      <c r="N14" s="286">
        <f t="shared" si="1"/>
        <v>0</v>
      </c>
      <c r="O14" s="286">
        <f t="shared" si="1"/>
        <v>0</v>
      </c>
      <c r="P14" s="286">
        <f t="shared" si="1"/>
        <v>0</v>
      </c>
    </row>
    <row r="15" spans="1:18" s="63" customFormat="1" ht="12.75">
      <c r="A15" s="642"/>
      <c r="B15" s="30"/>
      <c r="C15" s="63" t="s">
        <v>130</v>
      </c>
      <c r="K15" s="285"/>
      <c r="L15" s="286">
        <f t="shared" ref="L15:P15" si="2">L26</f>
        <v>-2.5</v>
      </c>
      <c r="M15" s="286">
        <f t="shared" si="2"/>
        <v>-201.5</v>
      </c>
      <c r="N15" s="286">
        <f t="shared" si="2"/>
        <v>-0.8</v>
      </c>
      <c r="O15" s="286">
        <f t="shared" si="2"/>
        <v>-250.9</v>
      </c>
      <c r="P15" s="286">
        <f t="shared" si="2"/>
        <v>-1</v>
      </c>
    </row>
    <row r="16" spans="1:18" ht="12.75">
      <c r="B16" s="7" t="s">
        <v>129</v>
      </c>
      <c r="K16" s="140"/>
      <c r="L16" s="287">
        <f ca="1">SUM(L13:L15)</f>
        <v>146.93399406273625</v>
      </c>
      <c r="M16" s="287">
        <f t="shared" ref="M16:P16" ca="1" si="3">SUM(M13:M15)</f>
        <v>-54.850352181569008</v>
      </c>
      <c r="N16" s="287">
        <f t="shared" ca="1" si="3"/>
        <v>159.68342089749675</v>
      </c>
      <c r="O16" s="287">
        <f t="shared" ca="1" si="3"/>
        <v>-34.571528513766538</v>
      </c>
      <c r="P16" s="287">
        <f t="shared" ca="1" si="3"/>
        <v>192.64461829574915</v>
      </c>
    </row>
    <row r="17" spans="1:21" ht="12.75">
      <c r="K17" s="140"/>
      <c r="L17" s="141"/>
    </row>
    <row r="18" spans="1:21" ht="12.75">
      <c r="B18" s="288" t="str">
        <f>bs!B25</f>
        <v>Revolver</v>
      </c>
      <c r="K18" s="140"/>
      <c r="L18" s="141"/>
    </row>
    <row r="19" spans="1:21" ht="12.75">
      <c r="C19" t="s">
        <v>56</v>
      </c>
      <c r="I19" s="289"/>
      <c r="J19" s="289"/>
      <c r="K19" s="643"/>
      <c r="L19" s="207">
        <f>K21</f>
        <v>211.6</v>
      </c>
      <c r="M19" s="207">
        <f t="shared" ref="M19:P19" ca="1" si="4">L21</f>
        <v>64.666005937263748</v>
      </c>
      <c r="N19" s="207">
        <f t="shared" ca="1" si="4"/>
        <v>119.51635811883276</v>
      </c>
      <c r="O19" s="207">
        <f t="shared" ca="1" si="4"/>
        <v>0</v>
      </c>
      <c r="P19" s="207">
        <f t="shared" ca="1" si="4"/>
        <v>34.571528513766538</v>
      </c>
    </row>
    <row r="20" spans="1:21" ht="12.75">
      <c r="C20" t="s">
        <v>10</v>
      </c>
      <c r="I20" s="289"/>
      <c r="J20" s="289"/>
      <c r="K20" s="644" t="s">
        <v>250</v>
      </c>
      <c r="L20" s="298">
        <f ca="1">-MIN(L16,L19)</f>
        <v>-146.93399406273625</v>
      </c>
      <c r="M20" s="298">
        <f t="shared" ref="M20:P20" ca="1" si="5">-MIN(M16,M19)</f>
        <v>54.850352181569008</v>
      </c>
      <c r="N20" s="298">
        <f t="shared" ca="1" si="5"/>
        <v>-119.51635811883276</v>
      </c>
      <c r="O20" s="298">
        <f t="shared" ca="1" si="5"/>
        <v>34.571528513766538</v>
      </c>
      <c r="P20" s="298">
        <f t="shared" ca="1" si="5"/>
        <v>-34.571528513766538</v>
      </c>
    </row>
    <row r="21" spans="1:21" ht="12.75">
      <c r="A21" s="642" t="s">
        <v>43</v>
      </c>
      <c r="C21" s="16" t="s">
        <v>57</v>
      </c>
      <c r="D21" s="16"/>
      <c r="E21" s="16"/>
      <c r="F21" s="16"/>
      <c r="G21" s="16"/>
      <c r="H21" s="16"/>
      <c r="I21" s="250">
        <f>bs!I25</f>
        <v>217</v>
      </c>
      <c r="J21" s="250">
        <f>bs!J25</f>
        <v>140.30000000000001</v>
      </c>
      <c r="K21" s="251">
        <f>bs!K25</f>
        <v>211.6</v>
      </c>
      <c r="L21" s="261">
        <f ca="1">SUM(L19:L20)</f>
        <v>64.666005937263748</v>
      </c>
      <c r="M21" s="261">
        <f t="shared" ref="M21:P21" ca="1" si="6">SUM(M19:M20)</f>
        <v>119.51635811883276</v>
      </c>
      <c r="N21" s="261">
        <f t="shared" ca="1" si="6"/>
        <v>0</v>
      </c>
      <c r="O21" s="261">
        <f t="shared" ca="1" si="6"/>
        <v>34.571528513766538</v>
      </c>
      <c r="P21" s="261">
        <f t="shared" ca="1" si="6"/>
        <v>0</v>
      </c>
    </row>
    <row r="22" spans="1:21" ht="12.75">
      <c r="C22" s="17"/>
      <c r="I22" s="26"/>
      <c r="J22" s="26"/>
      <c r="K22" s="95"/>
      <c r="L22" s="290"/>
      <c r="M22" s="290"/>
      <c r="N22" s="290"/>
      <c r="O22" s="290"/>
      <c r="P22" s="290"/>
    </row>
    <row r="23" spans="1:21" ht="12.75">
      <c r="B23" s="288" t="str">
        <f>bs!B26</f>
        <v>Long-term debt</v>
      </c>
      <c r="K23" s="140"/>
      <c r="L23" s="141"/>
    </row>
    <row r="24" spans="1:21" ht="12.75">
      <c r="C24" s="17" t="s">
        <v>56</v>
      </c>
      <c r="I24" s="292"/>
      <c r="J24" s="292"/>
      <c r="K24" s="645"/>
      <c r="L24" s="290">
        <f>K27</f>
        <v>1021.5</v>
      </c>
      <c r="M24" s="290">
        <f t="shared" ref="M24:P24" si="7">L27</f>
        <v>1019</v>
      </c>
      <c r="N24" s="290">
        <f t="shared" si="7"/>
        <v>817.5</v>
      </c>
      <c r="O24" s="290">
        <f t="shared" si="7"/>
        <v>816.7</v>
      </c>
      <c r="P24" s="290">
        <f t="shared" si="7"/>
        <v>565.80000000000007</v>
      </c>
    </row>
    <row r="25" spans="1:21" ht="12.75">
      <c r="C25" s="17" t="s">
        <v>95</v>
      </c>
      <c r="I25" s="293"/>
      <c r="J25" s="293"/>
      <c r="K25" s="646"/>
      <c r="L25" s="62">
        <v>0</v>
      </c>
      <c r="M25" s="62">
        <v>0</v>
      </c>
      <c r="N25" s="62">
        <v>0</v>
      </c>
      <c r="O25" s="62">
        <v>0</v>
      </c>
      <c r="P25" s="62">
        <v>0</v>
      </c>
    </row>
    <row r="26" spans="1:21" s="16" customFormat="1" ht="12.75">
      <c r="A26" s="642"/>
      <c r="C26" s="17" t="s">
        <v>131</v>
      </c>
      <c r="I26" s="293"/>
      <c r="J26" s="293"/>
      <c r="K26" s="646"/>
      <c r="L26" s="62">
        <v>-2.5</v>
      </c>
      <c r="M26" s="51">
        <v>-201.5</v>
      </c>
      <c r="N26" s="51">
        <v>-0.8</v>
      </c>
      <c r="O26" s="51">
        <v>-250.9</v>
      </c>
      <c r="P26" s="51">
        <v>-1</v>
      </c>
      <c r="R26" s="13"/>
      <c r="S26" s="13"/>
      <c r="T26"/>
      <c r="U26"/>
    </row>
    <row r="27" spans="1:21" ht="12.75">
      <c r="A27" s="642" t="s">
        <v>43</v>
      </c>
      <c r="C27" s="17" t="s">
        <v>57</v>
      </c>
      <c r="I27" s="250">
        <f>bs!I26</f>
        <v>1035.1000000000001</v>
      </c>
      <c r="J27" s="250">
        <f>bs!J26</f>
        <v>1031.5</v>
      </c>
      <c r="K27" s="251">
        <f>bs!K26</f>
        <v>1021.5</v>
      </c>
      <c r="L27" s="261">
        <f>SUM(L24:L26)</f>
        <v>1019</v>
      </c>
      <c r="M27" s="261">
        <f t="shared" ref="M27:P27" si="8">SUM(M24:M26)</f>
        <v>817.5</v>
      </c>
      <c r="N27" s="261">
        <f t="shared" si="8"/>
        <v>816.7</v>
      </c>
      <c r="O27" s="261">
        <f t="shared" si="8"/>
        <v>565.80000000000007</v>
      </c>
      <c r="P27" s="261">
        <f t="shared" si="8"/>
        <v>564.80000000000007</v>
      </c>
      <c r="R27" s="13"/>
      <c r="S27" s="13"/>
    </row>
    <row r="28" spans="1:21" ht="12.75">
      <c r="C28" s="17"/>
      <c r="I28" s="26"/>
      <c r="J28" s="26"/>
      <c r="K28" s="95"/>
      <c r="L28" s="290"/>
      <c r="M28" s="290"/>
      <c r="N28" s="290"/>
      <c r="O28" s="290"/>
      <c r="P28" s="290"/>
      <c r="R28" s="13"/>
      <c r="S28" s="13"/>
    </row>
    <row r="29" spans="1:21" s="27" customFormat="1" ht="12.75">
      <c r="A29" s="642"/>
      <c r="B29" s="294"/>
      <c r="C29" s="295"/>
      <c r="D29" s="294"/>
      <c r="E29" s="294"/>
      <c r="F29" s="294"/>
      <c r="G29" s="294"/>
      <c r="H29" s="294"/>
      <c r="I29" s="296"/>
      <c r="J29" s="296"/>
      <c r="K29" s="647"/>
      <c r="L29" s="297"/>
      <c r="M29" s="297"/>
      <c r="N29" s="297"/>
      <c r="O29" s="297"/>
      <c r="P29" s="297"/>
      <c r="R29" s="41"/>
    </row>
    <row r="30" spans="1:21" ht="12.75">
      <c r="B30" s="27" t="str">
        <f>B18</f>
        <v>Revolver</v>
      </c>
      <c r="C30" s="27"/>
      <c r="D30" s="27"/>
      <c r="E30" s="27"/>
      <c r="F30" s="27"/>
      <c r="G30" s="27"/>
      <c r="H30" s="27"/>
      <c r="I30" s="298" t="s">
        <v>132</v>
      </c>
      <c r="J30" s="62"/>
      <c r="K30" s="210"/>
      <c r="L30" s="299">
        <f t="shared" ref="L30:P30" ca="1" si="9">AVERAGE(L19,L21)</f>
        <v>138.13300296863187</v>
      </c>
      <c r="M30" s="299">
        <f t="shared" ca="1" si="9"/>
        <v>92.091182028048252</v>
      </c>
      <c r="N30" s="299">
        <f t="shared" ca="1" si="9"/>
        <v>59.758179059416378</v>
      </c>
      <c r="O30" s="299">
        <f t="shared" ca="1" si="9"/>
        <v>17.285764256883269</v>
      </c>
      <c r="P30" s="299">
        <f t="shared" ca="1" si="9"/>
        <v>17.285764256883269</v>
      </c>
      <c r="R30" s="106" t="s">
        <v>275</v>
      </c>
    </row>
    <row r="31" spans="1:21" ht="12.75">
      <c r="B31" s="27"/>
      <c r="C31" s="27"/>
      <c r="D31" s="27"/>
      <c r="E31" s="27"/>
      <c r="F31" s="27"/>
      <c r="G31" s="27"/>
      <c r="H31" s="27"/>
      <c r="I31" s="298" t="s">
        <v>273</v>
      </c>
      <c r="J31" s="62"/>
      <c r="K31" s="210"/>
      <c r="L31" s="583">
        <v>2.3E-3</v>
      </c>
      <c r="M31" s="585">
        <f>L31+$R$31</f>
        <v>5.3E-3</v>
      </c>
      <c r="N31" s="585">
        <f>M31+$R$31</f>
        <v>8.3000000000000001E-3</v>
      </c>
      <c r="O31" s="585">
        <f>N31+$R$31</f>
        <v>1.1300000000000001E-2</v>
      </c>
      <c r="P31" s="585">
        <f>O31+$R$31</f>
        <v>1.43E-2</v>
      </c>
      <c r="R31" s="584">
        <v>3.0000000000000001E-3</v>
      </c>
    </row>
    <row r="32" spans="1:21" ht="12.75">
      <c r="B32" s="27"/>
      <c r="C32" s="27"/>
      <c r="D32" s="27"/>
      <c r="E32" s="27"/>
      <c r="F32" s="27"/>
      <c r="G32" s="27"/>
      <c r="H32" s="27"/>
      <c r="I32" s="298" t="s">
        <v>274</v>
      </c>
      <c r="J32" s="62"/>
      <c r="K32" s="210"/>
      <c r="L32" s="586">
        <v>87.5</v>
      </c>
      <c r="M32" s="587">
        <f>L32</f>
        <v>87.5</v>
      </c>
      <c r="N32" s="587">
        <f>M32</f>
        <v>87.5</v>
      </c>
      <c r="O32" s="587">
        <f>N32</f>
        <v>87.5</v>
      </c>
      <c r="P32" s="587">
        <f>O32</f>
        <v>87.5</v>
      </c>
    </row>
    <row r="33" spans="1:21" ht="12.75">
      <c r="I33" t="s">
        <v>133</v>
      </c>
      <c r="J33" s="63"/>
      <c r="K33" s="140"/>
      <c r="L33" s="588">
        <f>L31+L32/10000</f>
        <v>1.1050000000000001E-2</v>
      </c>
      <c r="M33" s="588">
        <f>M31+M32/10000</f>
        <v>1.405E-2</v>
      </c>
      <c r="N33" s="588">
        <f>N31+N32/10000</f>
        <v>1.7050000000000003E-2</v>
      </c>
      <c r="O33" s="588">
        <f>O31+O32/10000</f>
        <v>2.0050000000000002E-2</v>
      </c>
      <c r="P33" s="588">
        <f>P31+P32/10000</f>
        <v>2.3050000000000001E-2</v>
      </c>
    </row>
    <row r="34" spans="1:21" ht="12.75">
      <c r="I34" t="s">
        <v>47</v>
      </c>
      <c r="J34" s="63"/>
      <c r="K34" s="285"/>
      <c r="L34" s="290">
        <f ca="1">L33*L30</f>
        <v>1.5263696828033824</v>
      </c>
      <c r="M34" s="290">
        <f t="shared" ref="M34:P34" ca="1" si="10">M33*M30</f>
        <v>1.2938811074940779</v>
      </c>
      <c r="N34" s="290">
        <f t="shared" ca="1" si="10"/>
        <v>1.0188769529630495</v>
      </c>
      <c r="O34" s="290">
        <f t="shared" ca="1" si="10"/>
        <v>0.3465795733505096</v>
      </c>
      <c r="P34" s="290">
        <f t="shared" ca="1" si="10"/>
        <v>0.39843686612115936</v>
      </c>
      <c r="T34" s="304" t="s">
        <v>182</v>
      </c>
      <c r="U34" s="305" t="s">
        <v>183</v>
      </c>
    </row>
    <row r="35" spans="1:21" ht="12.75">
      <c r="J35" s="63"/>
      <c r="K35" s="285"/>
      <c r="L35" s="290"/>
      <c r="M35" s="233"/>
      <c r="N35" s="233"/>
      <c r="O35" s="233"/>
      <c r="P35" s="233"/>
      <c r="T35" s="306">
        <v>200</v>
      </c>
      <c r="U35" s="307">
        <f>AVERAGE(0.052,0.0021)</f>
        <v>2.7049999999999998E-2</v>
      </c>
    </row>
    <row r="36" spans="1:21" ht="12.75">
      <c r="B36" s="27" t="str">
        <f>B23</f>
        <v>Long-term debt</v>
      </c>
      <c r="I36" s="123" t="str">
        <f>I30</f>
        <v>Average balances</v>
      </c>
      <c r="J36" s="62"/>
      <c r="K36" s="210"/>
      <c r="L36" s="299">
        <f t="shared" ref="L36:P36" si="11">AVERAGE(L24,L27)</f>
        <v>1020.25</v>
      </c>
      <c r="M36" s="299">
        <f t="shared" si="11"/>
        <v>918.25</v>
      </c>
      <c r="N36" s="299">
        <f t="shared" si="11"/>
        <v>817.1</v>
      </c>
      <c r="O36" s="299">
        <f t="shared" si="11"/>
        <v>691.25</v>
      </c>
      <c r="P36" s="299">
        <f t="shared" si="11"/>
        <v>565.30000000000007</v>
      </c>
      <c r="T36" s="308">
        <v>250</v>
      </c>
      <c r="U36" s="307">
        <v>6.25E-2</v>
      </c>
    </row>
    <row r="37" spans="1:21" ht="12.75">
      <c r="B37" s="27"/>
      <c r="H37" s="280"/>
      <c r="I37" s="123" t="str">
        <f>I33</f>
        <v>Interest rate</v>
      </c>
      <c r="J37" s="63"/>
      <c r="K37" s="285"/>
      <c r="L37" s="300">
        <v>4.3400000000000001E-2</v>
      </c>
      <c r="M37" s="301">
        <f>L37</f>
        <v>4.3400000000000001E-2</v>
      </c>
      <c r="N37" s="301">
        <f>M37</f>
        <v>4.3400000000000001E-2</v>
      </c>
      <c r="O37" s="301">
        <f>N37</f>
        <v>4.3400000000000001E-2</v>
      </c>
      <c r="P37" s="301">
        <f>O37</f>
        <v>4.3400000000000001E-2</v>
      </c>
      <c r="T37" s="308">
        <v>250</v>
      </c>
      <c r="U37" s="307">
        <v>4.0099999999999997E-2</v>
      </c>
    </row>
    <row r="38" spans="1:21" ht="12.75">
      <c r="B38" s="27"/>
      <c r="I38" s="123" t="str">
        <f>I34</f>
        <v>Interest expense</v>
      </c>
      <c r="J38" s="63"/>
      <c r="K38" s="285"/>
      <c r="L38" s="290">
        <f t="shared" ref="L38:P38" si="12">L37*L36</f>
        <v>44.278849999999998</v>
      </c>
      <c r="M38" s="233">
        <f t="shared" si="12"/>
        <v>39.852049999999998</v>
      </c>
      <c r="N38" s="233">
        <f t="shared" si="12"/>
        <v>35.462140000000005</v>
      </c>
      <c r="O38" s="233">
        <f t="shared" si="12"/>
        <v>30.000250000000001</v>
      </c>
      <c r="P38" s="233">
        <f t="shared" si="12"/>
        <v>24.534020000000005</v>
      </c>
      <c r="T38" s="308">
        <v>250</v>
      </c>
      <c r="U38" s="307">
        <v>3.3000000000000002E-2</v>
      </c>
    </row>
    <row r="39" spans="1:21" ht="12.75">
      <c r="J39" s="63"/>
      <c r="K39" s="285"/>
      <c r="L39" s="290"/>
      <c r="M39" s="233"/>
      <c r="N39" s="233"/>
      <c r="O39" s="233"/>
      <c r="P39" s="233"/>
      <c r="T39" s="308">
        <v>55</v>
      </c>
      <c r="U39" s="307">
        <f>AVERAGE(0.0763,0.0812)</f>
        <v>7.8750000000000001E-2</v>
      </c>
    </row>
    <row r="40" spans="1:21" s="7" customFormat="1" ht="12.75">
      <c r="A40" s="642" t="s">
        <v>43</v>
      </c>
      <c r="I40" s="7" t="s">
        <v>134</v>
      </c>
      <c r="J40" s="30"/>
      <c r="K40" s="648"/>
      <c r="L40" s="102">
        <f t="shared" ref="L40:P40" ca="1" si="13">L34+L38</f>
        <v>45.805219682803383</v>
      </c>
      <c r="M40" s="22">
        <f t="shared" ca="1" si="13"/>
        <v>41.145931107494079</v>
      </c>
      <c r="N40" s="22">
        <f t="shared" ca="1" si="13"/>
        <v>36.481016952963053</v>
      </c>
      <c r="O40" s="22">
        <f t="shared" ca="1" si="13"/>
        <v>30.346829573350512</v>
      </c>
      <c r="P40" s="22">
        <f t="shared" ca="1" si="13"/>
        <v>24.932456866121164</v>
      </c>
      <c r="T40" s="309" t="s">
        <v>184</v>
      </c>
      <c r="U40" s="310">
        <f>SUMPRODUCT(T35:T39,U35:U39)/SUM(T35:T39)</f>
        <v>4.342412935323383E-2</v>
      </c>
    </row>
    <row r="41" spans="1:21" ht="12.75">
      <c r="J41" s="63"/>
      <c r="K41" s="285"/>
      <c r="L41" s="141"/>
    </row>
    <row r="42" spans="1:21" ht="12.75">
      <c r="B42" s="16" t="s">
        <v>210</v>
      </c>
      <c r="I42" s="23" t="str">
        <f>I36</f>
        <v>Average balances</v>
      </c>
      <c r="J42" s="241"/>
      <c r="K42" s="649"/>
      <c r="L42" s="26">
        <f ca="1">AVERAGE(bs!K7:L7)</f>
        <v>56.5</v>
      </c>
      <c r="M42" s="24">
        <f ca="1">AVERAGE(bs!L7:M7)</f>
        <v>50</v>
      </c>
      <c r="N42" s="24">
        <f ca="1">AVERAGE(bs!M7:N7)</f>
        <v>70.083531389331995</v>
      </c>
      <c r="O42" s="24">
        <f ca="1">AVERAGE(bs!N7:O7)</f>
        <v>70.083531389331995</v>
      </c>
      <c r="P42" s="24">
        <f ca="1">AVERAGE(bs!O7:P7)</f>
        <v>129.03654489099131</v>
      </c>
    </row>
    <row r="43" spans="1:21" ht="12.75">
      <c r="B43" s="16"/>
      <c r="I43" s="23" t="str">
        <f>I37</f>
        <v>Interest rate</v>
      </c>
      <c r="J43" s="63"/>
      <c r="K43" s="285"/>
      <c r="L43" s="300">
        <v>5.0000000000000001E-3</v>
      </c>
      <c r="M43" s="301">
        <f>L43</f>
        <v>5.0000000000000001E-3</v>
      </c>
      <c r="N43" s="301">
        <f>M43</f>
        <v>5.0000000000000001E-3</v>
      </c>
      <c r="O43" s="301">
        <f>N43</f>
        <v>5.0000000000000001E-3</v>
      </c>
      <c r="P43" s="301">
        <f>O43</f>
        <v>5.0000000000000001E-3</v>
      </c>
      <c r="R43" s="41"/>
    </row>
    <row r="44" spans="1:21" ht="12.75">
      <c r="A44" s="642" t="s">
        <v>43</v>
      </c>
      <c r="I44" s="16" t="s">
        <v>209</v>
      </c>
      <c r="J44" s="63"/>
      <c r="K44" s="285"/>
      <c r="L44" s="290">
        <f t="shared" ref="L44:P44" ca="1" si="14">-L42*L43</f>
        <v>-0.28250000000000003</v>
      </c>
      <c r="M44" s="233">
        <f t="shared" ca="1" si="14"/>
        <v>-0.25</v>
      </c>
      <c r="N44" s="233">
        <f t="shared" ca="1" si="14"/>
        <v>-0.35041765694665999</v>
      </c>
      <c r="O44" s="233">
        <f t="shared" ca="1" si="14"/>
        <v>-0.35041765694665999</v>
      </c>
      <c r="P44" s="233">
        <f t="shared" ca="1" si="14"/>
        <v>-0.6451827244549565</v>
      </c>
    </row>
    <row r="45" spans="1:21" ht="12.75">
      <c r="I45" s="63"/>
      <c r="J45" s="63"/>
      <c r="K45" s="63"/>
      <c r="L45" s="233"/>
      <c r="M45" s="233"/>
      <c r="N45" s="233"/>
      <c r="O45" s="233"/>
      <c r="P45" s="233"/>
      <c r="S45" s="302"/>
    </row>
    <row r="47" spans="1:21" ht="12.75">
      <c r="A47" s="642" t="s">
        <v>43</v>
      </c>
      <c r="B47" s="69" t="s">
        <v>49</v>
      </c>
      <c r="N47" s="277"/>
      <c r="O47" s="277"/>
      <c r="P47" s="277"/>
    </row>
  </sheetData>
  <phoneticPr fontId="64" type="noConversion"/>
  <pageMargins left="0.5" right="0.5" top="0.5" bottom="0.65" header="0.25" footer="0.25"/>
  <pageSetup scale="93" orientation="landscape" r:id="rId1"/>
  <headerFooter differentFirst="1" alignWithMargins="0">
    <oddFooter>&amp;C&amp;8&amp;G&amp;R&amp;8For training purposes only!&amp;L&amp;8COPYRIGHT 2017 © by Training The Street, Inc</oddFooter>
  </headerFooter>
  <legacyDrawing r:id="rId2"/>
  <legacyDrawingHF r:id="rId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R115"/>
  <sheetViews>
    <sheetView showGridLines="0" zoomScaleSheetLayoutView="100" workbookViewId="0"/>
  </sheetViews>
  <sheetFormatPr defaultColWidth="8.85546875" defaultRowHeight="13.15" customHeight="1" outlineLevelRow="1"/>
  <cols>
    <col min="1" max="1" width="1.7109375" style="642" customWidth="1"/>
    <col min="2" max="2" width="2.42578125" style="696" customWidth="1"/>
    <col min="3" max="3" width="1.7109375" style="696" customWidth="1"/>
    <col min="4" max="4" width="10.42578125" style="696" bestFit="1" customWidth="1"/>
    <col min="5" max="5" width="10.85546875" style="696" bestFit="1" customWidth="1"/>
    <col min="6" max="7" width="10.42578125" style="696" bestFit="1" customWidth="1"/>
    <col min="8" max="8" width="12.28515625" style="696" bestFit="1" customWidth="1"/>
    <col min="9" max="9" width="10.85546875" style="696" bestFit="1" customWidth="1"/>
    <col min="10" max="10" width="12.85546875" style="696" bestFit="1" customWidth="1"/>
    <col min="11" max="13" width="10.85546875" style="696" bestFit="1" customWidth="1"/>
    <col min="14" max="14" width="13" style="696" bestFit="1" customWidth="1"/>
    <col min="15" max="15" width="10.85546875" style="696" bestFit="1" customWidth="1"/>
    <col min="16" max="16" width="12.7109375" style="696" bestFit="1" customWidth="1"/>
    <col min="17" max="17" width="2.7109375" style="696" customWidth="1"/>
    <col min="18" max="18" width="11.7109375" style="696" bestFit="1" customWidth="1"/>
    <col min="19" max="256" width="8.85546875" style="696"/>
    <col min="257" max="257" width="1.7109375" style="696" customWidth="1"/>
    <col min="258" max="258" width="2.42578125" style="696" customWidth="1"/>
    <col min="259" max="259" width="1.7109375" style="696" customWidth="1"/>
    <col min="260" max="260" width="10.42578125" style="696" bestFit="1" customWidth="1"/>
    <col min="261" max="261" width="10.85546875" style="696" bestFit="1" customWidth="1"/>
    <col min="262" max="263" width="10.42578125" style="696" bestFit="1" customWidth="1"/>
    <col min="264" max="264" width="12.28515625" style="696" bestFit="1" customWidth="1"/>
    <col min="265" max="265" width="10.85546875" style="696" bestFit="1" customWidth="1"/>
    <col min="266" max="266" width="12.85546875" style="696" bestFit="1" customWidth="1"/>
    <col min="267" max="269" width="10.85546875" style="696" bestFit="1" customWidth="1"/>
    <col min="270" max="270" width="13" style="696" bestFit="1" customWidth="1"/>
    <col min="271" max="271" width="10.85546875" style="696" bestFit="1" customWidth="1"/>
    <col min="272" max="272" width="12.7109375" style="696" bestFit="1" customWidth="1"/>
    <col min="273" max="273" width="2.7109375" style="696" customWidth="1"/>
    <col min="274" max="274" width="11.7109375" style="696" bestFit="1" customWidth="1"/>
    <col min="275" max="512" width="8.85546875" style="696"/>
    <col min="513" max="513" width="1.7109375" style="696" customWidth="1"/>
    <col min="514" max="514" width="2.42578125" style="696" customWidth="1"/>
    <col min="515" max="515" width="1.7109375" style="696" customWidth="1"/>
    <col min="516" max="516" width="10.42578125" style="696" bestFit="1" customWidth="1"/>
    <col min="517" max="517" width="10.85546875" style="696" bestFit="1" customWidth="1"/>
    <col min="518" max="519" width="10.42578125" style="696" bestFit="1" customWidth="1"/>
    <col min="520" max="520" width="12.28515625" style="696" bestFit="1" customWidth="1"/>
    <col min="521" max="521" width="10.85546875" style="696" bestFit="1" customWidth="1"/>
    <col min="522" max="522" width="12.85546875" style="696" bestFit="1" customWidth="1"/>
    <col min="523" max="525" width="10.85546875" style="696" bestFit="1" customWidth="1"/>
    <col min="526" max="526" width="13" style="696" bestFit="1" customWidth="1"/>
    <col min="527" max="527" width="10.85546875" style="696" bestFit="1" customWidth="1"/>
    <col min="528" max="528" width="12.7109375" style="696" bestFit="1" customWidth="1"/>
    <col min="529" max="529" width="2.7109375" style="696" customWidth="1"/>
    <col min="530" max="530" width="11.7109375" style="696" bestFit="1" customWidth="1"/>
    <col min="531" max="768" width="8.85546875" style="696"/>
    <col min="769" max="769" width="1.7109375" style="696" customWidth="1"/>
    <col min="770" max="770" width="2.42578125" style="696" customWidth="1"/>
    <col min="771" max="771" width="1.7109375" style="696" customWidth="1"/>
    <col min="772" max="772" width="10.42578125" style="696" bestFit="1" customWidth="1"/>
    <col min="773" max="773" width="10.85546875" style="696" bestFit="1" customWidth="1"/>
    <col min="774" max="775" width="10.42578125" style="696" bestFit="1" customWidth="1"/>
    <col min="776" max="776" width="12.28515625" style="696" bestFit="1" customWidth="1"/>
    <col min="777" max="777" width="10.85546875" style="696" bestFit="1" customWidth="1"/>
    <col min="778" max="778" width="12.85546875" style="696" bestFit="1" customWidth="1"/>
    <col min="779" max="781" width="10.85546875" style="696" bestFit="1" customWidth="1"/>
    <col min="782" max="782" width="13" style="696" bestFit="1" customWidth="1"/>
    <col min="783" max="783" width="10.85546875" style="696" bestFit="1" customWidth="1"/>
    <col min="784" max="784" width="12.7109375" style="696" bestFit="1" customWidth="1"/>
    <col min="785" max="785" width="2.7109375" style="696" customWidth="1"/>
    <col min="786" max="786" width="11.7109375" style="696" bestFit="1" customWidth="1"/>
    <col min="787" max="1024" width="8.85546875" style="696"/>
    <col min="1025" max="1025" width="1.7109375" style="696" customWidth="1"/>
    <col min="1026" max="1026" width="2.42578125" style="696" customWidth="1"/>
    <col min="1027" max="1027" width="1.7109375" style="696" customWidth="1"/>
    <col min="1028" max="1028" width="10.42578125" style="696" bestFit="1" customWidth="1"/>
    <col min="1029" max="1029" width="10.85546875" style="696" bestFit="1" customWidth="1"/>
    <col min="1030" max="1031" width="10.42578125" style="696" bestFit="1" customWidth="1"/>
    <col min="1032" max="1032" width="12.28515625" style="696" bestFit="1" customWidth="1"/>
    <col min="1033" max="1033" width="10.85546875" style="696" bestFit="1" customWidth="1"/>
    <col min="1034" max="1034" width="12.85546875" style="696" bestFit="1" customWidth="1"/>
    <col min="1035" max="1037" width="10.85546875" style="696" bestFit="1" customWidth="1"/>
    <col min="1038" max="1038" width="13" style="696" bestFit="1" customWidth="1"/>
    <col min="1039" max="1039" width="10.85546875" style="696" bestFit="1" customWidth="1"/>
    <col min="1040" max="1040" width="12.7109375" style="696" bestFit="1" customWidth="1"/>
    <col min="1041" max="1041" width="2.7109375" style="696" customWidth="1"/>
    <col min="1042" max="1042" width="11.7109375" style="696" bestFit="1" customWidth="1"/>
    <col min="1043" max="1280" width="8.85546875" style="696"/>
    <col min="1281" max="1281" width="1.7109375" style="696" customWidth="1"/>
    <col min="1282" max="1282" width="2.42578125" style="696" customWidth="1"/>
    <col min="1283" max="1283" width="1.7109375" style="696" customWidth="1"/>
    <col min="1284" max="1284" width="10.42578125" style="696" bestFit="1" customWidth="1"/>
    <col min="1285" max="1285" width="10.85546875" style="696" bestFit="1" customWidth="1"/>
    <col min="1286" max="1287" width="10.42578125" style="696" bestFit="1" customWidth="1"/>
    <col min="1288" max="1288" width="12.28515625" style="696" bestFit="1" customWidth="1"/>
    <col min="1289" max="1289" width="10.85546875" style="696" bestFit="1" customWidth="1"/>
    <col min="1290" max="1290" width="12.85546875" style="696" bestFit="1" customWidth="1"/>
    <col min="1291" max="1293" width="10.85546875" style="696" bestFit="1" customWidth="1"/>
    <col min="1294" max="1294" width="13" style="696" bestFit="1" customWidth="1"/>
    <col min="1295" max="1295" width="10.85546875" style="696" bestFit="1" customWidth="1"/>
    <col min="1296" max="1296" width="12.7109375" style="696" bestFit="1" customWidth="1"/>
    <col min="1297" max="1297" width="2.7109375" style="696" customWidth="1"/>
    <col min="1298" max="1298" width="11.7109375" style="696" bestFit="1" customWidth="1"/>
    <col min="1299" max="1536" width="8.85546875" style="696"/>
    <col min="1537" max="1537" width="1.7109375" style="696" customWidth="1"/>
    <col min="1538" max="1538" width="2.42578125" style="696" customWidth="1"/>
    <col min="1539" max="1539" width="1.7109375" style="696" customWidth="1"/>
    <col min="1540" max="1540" width="10.42578125" style="696" bestFit="1" customWidth="1"/>
    <col min="1541" max="1541" width="10.85546875" style="696" bestFit="1" customWidth="1"/>
    <col min="1542" max="1543" width="10.42578125" style="696" bestFit="1" customWidth="1"/>
    <col min="1544" max="1544" width="12.28515625" style="696" bestFit="1" customWidth="1"/>
    <col min="1545" max="1545" width="10.85546875" style="696" bestFit="1" customWidth="1"/>
    <col min="1546" max="1546" width="12.85546875" style="696" bestFit="1" customWidth="1"/>
    <col min="1547" max="1549" width="10.85546875" style="696" bestFit="1" customWidth="1"/>
    <col min="1550" max="1550" width="13" style="696" bestFit="1" customWidth="1"/>
    <col min="1551" max="1551" width="10.85546875" style="696" bestFit="1" customWidth="1"/>
    <col min="1552" max="1552" width="12.7109375" style="696" bestFit="1" customWidth="1"/>
    <col min="1553" max="1553" width="2.7109375" style="696" customWidth="1"/>
    <col min="1554" max="1554" width="11.7109375" style="696" bestFit="1" customWidth="1"/>
    <col min="1555" max="1792" width="8.85546875" style="696"/>
    <col min="1793" max="1793" width="1.7109375" style="696" customWidth="1"/>
    <col min="1794" max="1794" width="2.42578125" style="696" customWidth="1"/>
    <col min="1795" max="1795" width="1.7109375" style="696" customWidth="1"/>
    <col min="1796" max="1796" width="10.42578125" style="696" bestFit="1" customWidth="1"/>
    <col min="1797" max="1797" width="10.85546875" style="696" bestFit="1" customWidth="1"/>
    <col min="1798" max="1799" width="10.42578125" style="696" bestFit="1" customWidth="1"/>
    <col min="1800" max="1800" width="12.28515625" style="696" bestFit="1" customWidth="1"/>
    <col min="1801" max="1801" width="10.85546875" style="696" bestFit="1" customWidth="1"/>
    <col min="1802" max="1802" width="12.85546875" style="696" bestFit="1" customWidth="1"/>
    <col min="1803" max="1805" width="10.85546875" style="696" bestFit="1" customWidth="1"/>
    <col min="1806" max="1806" width="13" style="696" bestFit="1" customWidth="1"/>
    <col min="1807" max="1807" width="10.85546875" style="696" bestFit="1" customWidth="1"/>
    <col min="1808" max="1808" width="12.7109375" style="696" bestFit="1" customWidth="1"/>
    <col min="1809" max="1809" width="2.7109375" style="696" customWidth="1"/>
    <col min="1810" max="1810" width="11.7109375" style="696" bestFit="1" customWidth="1"/>
    <col min="1811" max="2048" width="8.85546875" style="696"/>
    <col min="2049" max="2049" width="1.7109375" style="696" customWidth="1"/>
    <col min="2050" max="2050" width="2.42578125" style="696" customWidth="1"/>
    <col min="2051" max="2051" width="1.7109375" style="696" customWidth="1"/>
    <col min="2052" max="2052" width="10.42578125" style="696" bestFit="1" customWidth="1"/>
    <col min="2053" max="2053" width="10.85546875" style="696" bestFit="1" customWidth="1"/>
    <col min="2054" max="2055" width="10.42578125" style="696" bestFit="1" customWidth="1"/>
    <col min="2056" max="2056" width="12.28515625" style="696" bestFit="1" customWidth="1"/>
    <col min="2057" max="2057" width="10.85546875" style="696" bestFit="1" customWidth="1"/>
    <col min="2058" max="2058" width="12.85546875" style="696" bestFit="1" customWidth="1"/>
    <col min="2059" max="2061" width="10.85546875" style="696" bestFit="1" customWidth="1"/>
    <col min="2062" max="2062" width="13" style="696" bestFit="1" customWidth="1"/>
    <col min="2063" max="2063" width="10.85546875" style="696" bestFit="1" customWidth="1"/>
    <col min="2064" max="2064" width="12.7109375" style="696" bestFit="1" customWidth="1"/>
    <col min="2065" max="2065" width="2.7109375" style="696" customWidth="1"/>
    <col min="2066" max="2066" width="11.7109375" style="696" bestFit="1" customWidth="1"/>
    <col min="2067" max="2304" width="8.85546875" style="696"/>
    <col min="2305" max="2305" width="1.7109375" style="696" customWidth="1"/>
    <col min="2306" max="2306" width="2.42578125" style="696" customWidth="1"/>
    <col min="2307" max="2307" width="1.7109375" style="696" customWidth="1"/>
    <col min="2308" max="2308" width="10.42578125" style="696" bestFit="1" customWidth="1"/>
    <col min="2309" max="2309" width="10.85546875" style="696" bestFit="1" customWidth="1"/>
    <col min="2310" max="2311" width="10.42578125" style="696" bestFit="1" customWidth="1"/>
    <col min="2312" max="2312" width="12.28515625" style="696" bestFit="1" customWidth="1"/>
    <col min="2313" max="2313" width="10.85546875" style="696" bestFit="1" customWidth="1"/>
    <col min="2314" max="2314" width="12.85546875" style="696" bestFit="1" customWidth="1"/>
    <col min="2315" max="2317" width="10.85546875" style="696" bestFit="1" customWidth="1"/>
    <col min="2318" max="2318" width="13" style="696" bestFit="1" customWidth="1"/>
    <col min="2319" max="2319" width="10.85546875" style="696" bestFit="1" customWidth="1"/>
    <col min="2320" max="2320" width="12.7109375" style="696" bestFit="1" customWidth="1"/>
    <col min="2321" max="2321" width="2.7109375" style="696" customWidth="1"/>
    <col min="2322" max="2322" width="11.7109375" style="696" bestFit="1" customWidth="1"/>
    <col min="2323" max="2560" width="8.85546875" style="696"/>
    <col min="2561" max="2561" width="1.7109375" style="696" customWidth="1"/>
    <col min="2562" max="2562" width="2.42578125" style="696" customWidth="1"/>
    <col min="2563" max="2563" width="1.7109375" style="696" customWidth="1"/>
    <col min="2564" max="2564" width="10.42578125" style="696" bestFit="1" customWidth="1"/>
    <col min="2565" max="2565" width="10.85546875" style="696" bestFit="1" customWidth="1"/>
    <col min="2566" max="2567" width="10.42578125" style="696" bestFit="1" customWidth="1"/>
    <col min="2568" max="2568" width="12.28515625" style="696" bestFit="1" customWidth="1"/>
    <col min="2569" max="2569" width="10.85546875" style="696" bestFit="1" customWidth="1"/>
    <col min="2570" max="2570" width="12.85546875" style="696" bestFit="1" customWidth="1"/>
    <col min="2571" max="2573" width="10.85546875" style="696" bestFit="1" customWidth="1"/>
    <col min="2574" max="2574" width="13" style="696" bestFit="1" customWidth="1"/>
    <col min="2575" max="2575" width="10.85546875" style="696" bestFit="1" customWidth="1"/>
    <col min="2576" max="2576" width="12.7109375" style="696" bestFit="1" customWidth="1"/>
    <col min="2577" max="2577" width="2.7109375" style="696" customWidth="1"/>
    <col min="2578" max="2578" width="11.7109375" style="696" bestFit="1" customWidth="1"/>
    <col min="2579" max="2816" width="8.85546875" style="696"/>
    <col min="2817" max="2817" width="1.7109375" style="696" customWidth="1"/>
    <col min="2818" max="2818" width="2.42578125" style="696" customWidth="1"/>
    <col min="2819" max="2819" width="1.7109375" style="696" customWidth="1"/>
    <col min="2820" max="2820" width="10.42578125" style="696" bestFit="1" customWidth="1"/>
    <col min="2821" max="2821" width="10.85546875" style="696" bestFit="1" customWidth="1"/>
    <col min="2822" max="2823" width="10.42578125" style="696" bestFit="1" customWidth="1"/>
    <col min="2824" max="2824" width="12.28515625" style="696" bestFit="1" customWidth="1"/>
    <col min="2825" max="2825" width="10.85546875" style="696" bestFit="1" customWidth="1"/>
    <col min="2826" max="2826" width="12.85546875" style="696" bestFit="1" customWidth="1"/>
    <col min="2827" max="2829" width="10.85546875" style="696" bestFit="1" customWidth="1"/>
    <col min="2830" max="2830" width="13" style="696" bestFit="1" customWidth="1"/>
    <col min="2831" max="2831" width="10.85546875" style="696" bestFit="1" customWidth="1"/>
    <col min="2832" max="2832" width="12.7109375" style="696" bestFit="1" customWidth="1"/>
    <col min="2833" max="2833" width="2.7109375" style="696" customWidth="1"/>
    <col min="2834" max="2834" width="11.7109375" style="696" bestFit="1" customWidth="1"/>
    <col min="2835" max="3072" width="8.85546875" style="696"/>
    <col min="3073" max="3073" width="1.7109375" style="696" customWidth="1"/>
    <col min="3074" max="3074" width="2.42578125" style="696" customWidth="1"/>
    <col min="3075" max="3075" width="1.7109375" style="696" customWidth="1"/>
    <col min="3076" max="3076" width="10.42578125" style="696" bestFit="1" customWidth="1"/>
    <col min="3077" max="3077" width="10.85546875" style="696" bestFit="1" customWidth="1"/>
    <col min="3078" max="3079" width="10.42578125" style="696" bestFit="1" customWidth="1"/>
    <col min="3080" max="3080" width="12.28515625" style="696" bestFit="1" customWidth="1"/>
    <col min="3081" max="3081" width="10.85546875" style="696" bestFit="1" customWidth="1"/>
    <col min="3082" max="3082" width="12.85546875" style="696" bestFit="1" customWidth="1"/>
    <col min="3083" max="3085" width="10.85546875" style="696" bestFit="1" customWidth="1"/>
    <col min="3086" max="3086" width="13" style="696" bestFit="1" customWidth="1"/>
    <col min="3087" max="3087" width="10.85546875" style="696" bestFit="1" customWidth="1"/>
    <col min="3088" max="3088" width="12.7109375" style="696" bestFit="1" customWidth="1"/>
    <col min="3089" max="3089" width="2.7109375" style="696" customWidth="1"/>
    <col min="3090" max="3090" width="11.7109375" style="696" bestFit="1" customWidth="1"/>
    <col min="3091" max="3328" width="8.85546875" style="696"/>
    <col min="3329" max="3329" width="1.7109375" style="696" customWidth="1"/>
    <col min="3330" max="3330" width="2.42578125" style="696" customWidth="1"/>
    <col min="3331" max="3331" width="1.7109375" style="696" customWidth="1"/>
    <col min="3332" max="3332" width="10.42578125" style="696" bestFit="1" customWidth="1"/>
    <col min="3333" max="3333" width="10.85546875" style="696" bestFit="1" customWidth="1"/>
    <col min="3334" max="3335" width="10.42578125" style="696" bestFit="1" customWidth="1"/>
    <col min="3336" max="3336" width="12.28515625" style="696" bestFit="1" customWidth="1"/>
    <col min="3337" max="3337" width="10.85546875" style="696" bestFit="1" customWidth="1"/>
    <col min="3338" max="3338" width="12.85546875" style="696" bestFit="1" customWidth="1"/>
    <col min="3339" max="3341" width="10.85546875" style="696" bestFit="1" customWidth="1"/>
    <col min="3342" max="3342" width="13" style="696" bestFit="1" customWidth="1"/>
    <col min="3343" max="3343" width="10.85546875" style="696" bestFit="1" customWidth="1"/>
    <col min="3344" max="3344" width="12.7109375" style="696" bestFit="1" customWidth="1"/>
    <col min="3345" max="3345" width="2.7109375" style="696" customWidth="1"/>
    <col min="3346" max="3346" width="11.7109375" style="696" bestFit="1" customWidth="1"/>
    <col min="3347" max="3584" width="8.85546875" style="696"/>
    <col min="3585" max="3585" width="1.7109375" style="696" customWidth="1"/>
    <col min="3586" max="3586" width="2.42578125" style="696" customWidth="1"/>
    <col min="3587" max="3587" width="1.7109375" style="696" customWidth="1"/>
    <col min="3588" max="3588" width="10.42578125" style="696" bestFit="1" customWidth="1"/>
    <col min="3589" max="3589" width="10.85546875" style="696" bestFit="1" customWidth="1"/>
    <col min="3590" max="3591" width="10.42578125" style="696" bestFit="1" customWidth="1"/>
    <col min="3592" max="3592" width="12.28515625" style="696" bestFit="1" customWidth="1"/>
    <col min="3593" max="3593" width="10.85546875" style="696" bestFit="1" customWidth="1"/>
    <col min="3594" max="3594" width="12.85546875" style="696" bestFit="1" customWidth="1"/>
    <col min="3595" max="3597" width="10.85546875" style="696" bestFit="1" customWidth="1"/>
    <col min="3598" max="3598" width="13" style="696" bestFit="1" customWidth="1"/>
    <col min="3599" max="3599" width="10.85546875" style="696" bestFit="1" customWidth="1"/>
    <col min="3600" max="3600" width="12.7109375" style="696" bestFit="1" customWidth="1"/>
    <col min="3601" max="3601" width="2.7109375" style="696" customWidth="1"/>
    <col min="3602" max="3602" width="11.7109375" style="696" bestFit="1" customWidth="1"/>
    <col min="3603" max="3840" width="8.85546875" style="696"/>
    <col min="3841" max="3841" width="1.7109375" style="696" customWidth="1"/>
    <col min="3842" max="3842" width="2.42578125" style="696" customWidth="1"/>
    <col min="3843" max="3843" width="1.7109375" style="696" customWidth="1"/>
    <col min="3844" max="3844" width="10.42578125" style="696" bestFit="1" customWidth="1"/>
    <col min="3845" max="3845" width="10.85546875" style="696" bestFit="1" customWidth="1"/>
    <col min="3846" max="3847" width="10.42578125" style="696" bestFit="1" customWidth="1"/>
    <col min="3848" max="3848" width="12.28515625" style="696" bestFit="1" customWidth="1"/>
    <col min="3849" max="3849" width="10.85546875" style="696" bestFit="1" customWidth="1"/>
    <col min="3850" max="3850" width="12.85546875" style="696" bestFit="1" customWidth="1"/>
    <col min="3851" max="3853" width="10.85546875" style="696" bestFit="1" customWidth="1"/>
    <col min="3854" max="3854" width="13" style="696" bestFit="1" customWidth="1"/>
    <col min="3855" max="3855" width="10.85546875" style="696" bestFit="1" customWidth="1"/>
    <col min="3856" max="3856" width="12.7109375" style="696" bestFit="1" customWidth="1"/>
    <col min="3857" max="3857" width="2.7109375" style="696" customWidth="1"/>
    <col min="3858" max="3858" width="11.7109375" style="696" bestFit="1" customWidth="1"/>
    <col min="3859" max="4096" width="8.85546875" style="696"/>
    <col min="4097" max="4097" width="1.7109375" style="696" customWidth="1"/>
    <col min="4098" max="4098" width="2.42578125" style="696" customWidth="1"/>
    <col min="4099" max="4099" width="1.7109375" style="696" customWidth="1"/>
    <col min="4100" max="4100" width="10.42578125" style="696" bestFit="1" customWidth="1"/>
    <col min="4101" max="4101" width="10.85546875" style="696" bestFit="1" customWidth="1"/>
    <col min="4102" max="4103" width="10.42578125" style="696" bestFit="1" customWidth="1"/>
    <col min="4104" max="4104" width="12.28515625" style="696" bestFit="1" customWidth="1"/>
    <col min="4105" max="4105" width="10.85546875" style="696" bestFit="1" customWidth="1"/>
    <col min="4106" max="4106" width="12.85546875" style="696" bestFit="1" customWidth="1"/>
    <col min="4107" max="4109" width="10.85546875" style="696" bestFit="1" customWidth="1"/>
    <col min="4110" max="4110" width="13" style="696" bestFit="1" customWidth="1"/>
    <col min="4111" max="4111" width="10.85546875" style="696" bestFit="1" customWidth="1"/>
    <col min="4112" max="4112" width="12.7109375" style="696" bestFit="1" customWidth="1"/>
    <col min="4113" max="4113" width="2.7109375" style="696" customWidth="1"/>
    <col min="4114" max="4114" width="11.7109375" style="696" bestFit="1" customWidth="1"/>
    <col min="4115" max="4352" width="8.85546875" style="696"/>
    <col min="4353" max="4353" width="1.7109375" style="696" customWidth="1"/>
    <col min="4354" max="4354" width="2.42578125" style="696" customWidth="1"/>
    <col min="4355" max="4355" width="1.7109375" style="696" customWidth="1"/>
    <col min="4356" max="4356" width="10.42578125" style="696" bestFit="1" customWidth="1"/>
    <col min="4357" max="4357" width="10.85546875" style="696" bestFit="1" customWidth="1"/>
    <col min="4358" max="4359" width="10.42578125" style="696" bestFit="1" customWidth="1"/>
    <col min="4360" max="4360" width="12.28515625" style="696" bestFit="1" customWidth="1"/>
    <col min="4361" max="4361" width="10.85546875" style="696" bestFit="1" customWidth="1"/>
    <col min="4362" max="4362" width="12.85546875" style="696" bestFit="1" customWidth="1"/>
    <col min="4363" max="4365" width="10.85546875" style="696" bestFit="1" customWidth="1"/>
    <col min="4366" max="4366" width="13" style="696" bestFit="1" customWidth="1"/>
    <col min="4367" max="4367" width="10.85546875" style="696" bestFit="1" customWidth="1"/>
    <col min="4368" max="4368" width="12.7109375" style="696" bestFit="1" customWidth="1"/>
    <col min="4369" max="4369" width="2.7109375" style="696" customWidth="1"/>
    <col min="4370" max="4370" width="11.7109375" style="696" bestFit="1" customWidth="1"/>
    <col min="4371" max="4608" width="8.85546875" style="696"/>
    <col min="4609" max="4609" width="1.7109375" style="696" customWidth="1"/>
    <col min="4610" max="4610" width="2.42578125" style="696" customWidth="1"/>
    <col min="4611" max="4611" width="1.7109375" style="696" customWidth="1"/>
    <col min="4612" max="4612" width="10.42578125" style="696" bestFit="1" customWidth="1"/>
    <col min="4613" max="4613" width="10.85546875" style="696" bestFit="1" customWidth="1"/>
    <col min="4614" max="4615" width="10.42578125" style="696" bestFit="1" customWidth="1"/>
    <col min="4616" max="4616" width="12.28515625" style="696" bestFit="1" customWidth="1"/>
    <col min="4617" max="4617" width="10.85546875" style="696" bestFit="1" customWidth="1"/>
    <col min="4618" max="4618" width="12.85546875" style="696" bestFit="1" customWidth="1"/>
    <col min="4619" max="4621" width="10.85546875" style="696" bestFit="1" customWidth="1"/>
    <col min="4622" max="4622" width="13" style="696" bestFit="1" customWidth="1"/>
    <col min="4623" max="4623" width="10.85546875" style="696" bestFit="1" customWidth="1"/>
    <col min="4624" max="4624" width="12.7109375" style="696" bestFit="1" customWidth="1"/>
    <col min="4625" max="4625" width="2.7109375" style="696" customWidth="1"/>
    <col min="4626" max="4626" width="11.7109375" style="696" bestFit="1" customWidth="1"/>
    <col min="4627" max="4864" width="8.85546875" style="696"/>
    <col min="4865" max="4865" width="1.7109375" style="696" customWidth="1"/>
    <col min="4866" max="4866" width="2.42578125" style="696" customWidth="1"/>
    <col min="4867" max="4867" width="1.7109375" style="696" customWidth="1"/>
    <col min="4868" max="4868" width="10.42578125" style="696" bestFit="1" customWidth="1"/>
    <col min="4869" max="4869" width="10.85546875" style="696" bestFit="1" customWidth="1"/>
    <col min="4870" max="4871" width="10.42578125" style="696" bestFit="1" customWidth="1"/>
    <col min="4872" max="4872" width="12.28515625" style="696" bestFit="1" customWidth="1"/>
    <col min="4873" max="4873" width="10.85546875" style="696" bestFit="1" customWidth="1"/>
    <col min="4874" max="4874" width="12.85546875" style="696" bestFit="1" customWidth="1"/>
    <col min="4875" max="4877" width="10.85546875" style="696" bestFit="1" customWidth="1"/>
    <col min="4878" max="4878" width="13" style="696" bestFit="1" customWidth="1"/>
    <col min="4879" max="4879" width="10.85546875" style="696" bestFit="1" customWidth="1"/>
    <col min="4880" max="4880" width="12.7109375" style="696" bestFit="1" customWidth="1"/>
    <col min="4881" max="4881" width="2.7109375" style="696" customWidth="1"/>
    <col min="4882" max="4882" width="11.7109375" style="696" bestFit="1" customWidth="1"/>
    <col min="4883" max="5120" width="8.85546875" style="696"/>
    <col min="5121" max="5121" width="1.7109375" style="696" customWidth="1"/>
    <col min="5122" max="5122" width="2.42578125" style="696" customWidth="1"/>
    <col min="5123" max="5123" width="1.7109375" style="696" customWidth="1"/>
    <col min="5124" max="5124" width="10.42578125" style="696" bestFit="1" customWidth="1"/>
    <col min="5125" max="5125" width="10.85546875" style="696" bestFit="1" customWidth="1"/>
    <col min="5126" max="5127" width="10.42578125" style="696" bestFit="1" customWidth="1"/>
    <col min="5128" max="5128" width="12.28515625" style="696" bestFit="1" customWidth="1"/>
    <col min="5129" max="5129" width="10.85546875" style="696" bestFit="1" customWidth="1"/>
    <col min="5130" max="5130" width="12.85546875" style="696" bestFit="1" customWidth="1"/>
    <col min="5131" max="5133" width="10.85546875" style="696" bestFit="1" customWidth="1"/>
    <col min="5134" max="5134" width="13" style="696" bestFit="1" customWidth="1"/>
    <col min="5135" max="5135" width="10.85546875" style="696" bestFit="1" customWidth="1"/>
    <col min="5136" max="5136" width="12.7109375" style="696" bestFit="1" customWidth="1"/>
    <col min="5137" max="5137" width="2.7109375" style="696" customWidth="1"/>
    <col min="5138" max="5138" width="11.7109375" style="696" bestFit="1" customWidth="1"/>
    <col min="5139" max="5376" width="8.85546875" style="696"/>
    <col min="5377" max="5377" width="1.7109375" style="696" customWidth="1"/>
    <col min="5378" max="5378" width="2.42578125" style="696" customWidth="1"/>
    <col min="5379" max="5379" width="1.7109375" style="696" customWidth="1"/>
    <col min="5380" max="5380" width="10.42578125" style="696" bestFit="1" customWidth="1"/>
    <col min="5381" max="5381" width="10.85546875" style="696" bestFit="1" customWidth="1"/>
    <col min="5382" max="5383" width="10.42578125" style="696" bestFit="1" customWidth="1"/>
    <col min="5384" max="5384" width="12.28515625" style="696" bestFit="1" customWidth="1"/>
    <col min="5385" max="5385" width="10.85546875" style="696" bestFit="1" customWidth="1"/>
    <col min="5386" max="5386" width="12.85546875" style="696" bestFit="1" customWidth="1"/>
    <col min="5387" max="5389" width="10.85546875" style="696" bestFit="1" customWidth="1"/>
    <col min="5390" max="5390" width="13" style="696" bestFit="1" customWidth="1"/>
    <col min="5391" max="5391" width="10.85546875" style="696" bestFit="1" customWidth="1"/>
    <col min="5392" max="5392" width="12.7109375" style="696" bestFit="1" customWidth="1"/>
    <col min="5393" max="5393" width="2.7109375" style="696" customWidth="1"/>
    <col min="5394" max="5394" width="11.7109375" style="696" bestFit="1" customWidth="1"/>
    <col min="5395" max="5632" width="8.85546875" style="696"/>
    <col min="5633" max="5633" width="1.7109375" style="696" customWidth="1"/>
    <col min="5634" max="5634" width="2.42578125" style="696" customWidth="1"/>
    <col min="5635" max="5635" width="1.7109375" style="696" customWidth="1"/>
    <col min="5636" max="5636" width="10.42578125" style="696" bestFit="1" customWidth="1"/>
    <col min="5637" max="5637" width="10.85546875" style="696" bestFit="1" customWidth="1"/>
    <col min="5638" max="5639" width="10.42578125" style="696" bestFit="1" customWidth="1"/>
    <col min="5640" max="5640" width="12.28515625" style="696" bestFit="1" customWidth="1"/>
    <col min="5641" max="5641" width="10.85546875" style="696" bestFit="1" customWidth="1"/>
    <col min="5642" max="5642" width="12.85546875" style="696" bestFit="1" customWidth="1"/>
    <col min="5643" max="5645" width="10.85546875" style="696" bestFit="1" customWidth="1"/>
    <col min="5646" max="5646" width="13" style="696" bestFit="1" customWidth="1"/>
    <col min="5647" max="5647" width="10.85546875" style="696" bestFit="1" customWidth="1"/>
    <col min="5648" max="5648" width="12.7109375" style="696" bestFit="1" customWidth="1"/>
    <col min="5649" max="5649" width="2.7109375" style="696" customWidth="1"/>
    <col min="5650" max="5650" width="11.7109375" style="696" bestFit="1" customWidth="1"/>
    <col min="5651" max="5888" width="8.85546875" style="696"/>
    <col min="5889" max="5889" width="1.7109375" style="696" customWidth="1"/>
    <col min="5890" max="5890" width="2.42578125" style="696" customWidth="1"/>
    <col min="5891" max="5891" width="1.7109375" style="696" customWidth="1"/>
    <col min="5892" max="5892" width="10.42578125" style="696" bestFit="1" customWidth="1"/>
    <col min="5893" max="5893" width="10.85546875" style="696" bestFit="1" customWidth="1"/>
    <col min="5894" max="5895" width="10.42578125" style="696" bestFit="1" customWidth="1"/>
    <col min="5896" max="5896" width="12.28515625" style="696" bestFit="1" customWidth="1"/>
    <col min="5897" max="5897" width="10.85546875" style="696" bestFit="1" customWidth="1"/>
    <col min="5898" max="5898" width="12.85546875" style="696" bestFit="1" customWidth="1"/>
    <col min="5899" max="5901" width="10.85546875" style="696" bestFit="1" customWidth="1"/>
    <col min="5902" max="5902" width="13" style="696" bestFit="1" customWidth="1"/>
    <col min="5903" max="5903" width="10.85546875" style="696" bestFit="1" customWidth="1"/>
    <col min="5904" max="5904" width="12.7109375" style="696" bestFit="1" customWidth="1"/>
    <col min="5905" max="5905" width="2.7109375" style="696" customWidth="1"/>
    <col min="5906" max="5906" width="11.7109375" style="696" bestFit="1" customWidth="1"/>
    <col min="5907" max="6144" width="8.85546875" style="696"/>
    <col min="6145" max="6145" width="1.7109375" style="696" customWidth="1"/>
    <col min="6146" max="6146" width="2.42578125" style="696" customWidth="1"/>
    <col min="6147" max="6147" width="1.7109375" style="696" customWidth="1"/>
    <col min="6148" max="6148" width="10.42578125" style="696" bestFit="1" customWidth="1"/>
    <col min="6149" max="6149" width="10.85546875" style="696" bestFit="1" customWidth="1"/>
    <col min="6150" max="6151" width="10.42578125" style="696" bestFit="1" customWidth="1"/>
    <col min="6152" max="6152" width="12.28515625" style="696" bestFit="1" customWidth="1"/>
    <col min="6153" max="6153" width="10.85546875" style="696" bestFit="1" customWidth="1"/>
    <col min="6154" max="6154" width="12.85546875" style="696" bestFit="1" customWidth="1"/>
    <col min="6155" max="6157" width="10.85546875" style="696" bestFit="1" customWidth="1"/>
    <col min="6158" max="6158" width="13" style="696" bestFit="1" customWidth="1"/>
    <col min="6159" max="6159" width="10.85546875" style="696" bestFit="1" customWidth="1"/>
    <col min="6160" max="6160" width="12.7109375" style="696" bestFit="1" customWidth="1"/>
    <col min="6161" max="6161" width="2.7109375" style="696" customWidth="1"/>
    <col min="6162" max="6162" width="11.7109375" style="696" bestFit="1" customWidth="1"/>
    <col min="6163" max="6400" width="8.85546875" style="696"/>
    <col min="6401" max="6401" width="1.7109375" style="696" customWidth="1"/>
    <col min="6402" max="6402" width="2.42578125" style="696" customWidth="1"/>
    <col min="6403" max="6403" width="1.7109375" style="696" customWidth="1"/>
    <col min="6404" max="6404" width="10.42578125" style="696" bestFit="1" customWidth="1"/>
    <col min="6405" max="6405" width="10.85546875" style="696" bestFit="1" customWidth="1"/>
    <col min="6406" max="6407" width="10.42578125" style="696" bestFit="1" customWidth="1"/>
    <col min="6408" max="6408" width="12.28515625" style="696" bestFit="1" customWidth="1"/>
    <col min="6409" max="6409" width="10.85546875" style="696" bestFit="1" customWidth="1"/>
    <col min="6410" max="6410" width="12.85546875" style="696" bestFit="1" customWidth="1"/>
    <col min="6411" max="6413" width="10.85546875" style="696" bestFit="1" customWidth="1"/>
    <col min="6414" max="6414" width="13" style="696" bestFit="1" customWidth="1"/>
    <col min="6415" max="6415" width="10.85546875" style="696" bestFit="1" customWidth="1"/>
    <col min="6416" max="6416" width="12.7109375" style="696" bestFit="1" customWidth="1"/>
    <col min="6417" max="6417" width="2.7109375" style="696" customWidth="1"/>
    <col min="6418" max="6418" width="11.7109375" style="696" bestFit="1" customWidth="1"/>
    <col min="6419" max="6656" width="8.85546875" style="696"/>
    <col min="6657" max="6657" width="1.7109375" style="696" customWidth="1"/>
    <col min="6658" max="6658" width="2.42578125" style="696" customWidth="1"/>
    <col min="6659" max="6659" width="1.7109375" style="696" customWidth="1"/>
    <col min="6660" max="6660" width="10.42578125" style="696" bestFit="1" customWidth="1"/>
    <col min="6661" max="6661" width="10.85546875" style="696" bestFit="1" customWidth="1"/>
    <col min="6662" max="6663" width="10.42578125" style="696" bestFit="1" customWidth="1"/>
    <col min="6664" max="6664" width="12.28515625" style="696" bestFit="1" customWidth="1"/>
    <col min="6665" max="6665" width="10.85546875" style="696" bestFit="1" customWidth="1"/>
    <col min="6666" max="6666" width="12.85546875" style="696" bestFit="1" customWidth="1"/>
    <col min="6667" max="6669" width="10.85546875" style="696" bestFit="1" customWidth="1"/>
    <col min="6670" max="6670" width="13" style="696" bestFit="1" customWidth="1"/>
    <col min="6671" max="6671" width="10.85546875" style="696" bestFit="1" customWidth="1"/>
    <col min="6672" max="6672" width="12.7109375" style="696" bestFit="1" customWidth="1"/>
    <col min="6673" max="6673" width="2.7109375" style="696" customWidth="1"/>
    <col min="6674" max="6674" width="11.7109375" style="696" bestFit="1" customWidth="1"/>
    <col min="6675" max="6912" width="8.85546875" style="696"/>
    <col min="6913" max="6913" width="1.7109375" style="696" customWidth="1"/>
    <col min="6914" max="6914" width="2.42578125" style="696" customWidth="1"/>
    <col min="6915" max="6915" width="1.7109375" style="696" customWidth="1"/>
    <col min="6916" max="6916" width="10.42578125" style="696" bestFit="1" customWidth="1"/>
    <col min="6917" max="6917" width="10.85546875" style="696" bestFit="1" customWidth="1"/>
    <col min="6918" max="6919" width="10.42578125" style="696" bestFit="1" customWidth="1"/>
    <col min="6920" max="6920" width="12.28515625" style="696" bestFit="1" customWidth="1"/>
    <col min="6921" max="6921" width="10.85546875" style="696" bestFit="1" customWidth="1"/>
    <col min="6922" max="6922" width="12.85546875" style="696" bestFit="1" customWidth="1"/>
    <col min="6923" max="6925" width="10.85546875" style="696" bestFit="1" customWidth="1"/>
    <col min="6926" max="6926" width="13" style="696" bestFit="1" customWidth="1"/>
    <col min="6927" max="6927" width="10.85546875" style="696" bestFit="1" customWidth="1"/>
    <col min="6928" max="6928" width="12.7109375" style="696" bestFit="1" customWidth="1"/>
    <col min="6929" max="6929" width="2.7109375" style="696" customWidth="1"/>
    <col min="6930" max="6930" width="11.7109375" style="696" bestFit="1" customWidth="1"/>
    <col min="6931" max="7168" width="8.85546875" style="696"/>
    <col min="7169" max="7169" width="1.7109375" style="696" customWidth="1"/>
    <col min="7170" max="7170" width="2.42578125" style="696" customWidth="1"/>
    <col min="7171" max="7171" width="1.7109375" style="696" customWidth="1"/>
    <col min="7172" max="7172" width="10.42578125" style="696" bestFit="1" customWidth="1"/>
    <col min="7173" max="7173" width="10.85546875" style="696" bestFit="1" customWidth="1"/>
    <col min="7174" max="7175" width="10.42578125" style="696" bestFit="1" customWidth="1"/>
    <col min="7176" max="7176" width="12.28515625" style="696" bestFit="1" customWidth="1"/>
    <col min="7177" max="7177" width="10.85546875" style="696" bestFit="1" customWidth="1"/>
    <col min="7178" max="7178" width="12.85546875" style="696" bestFit="1" customWidth="1"/>
    <col min="7179" max="7181" width="10.85546875" style="696" bestFit="1" customWidth="1"/>
    <col min="7182" max="7182" width="13" style="696" bestFit="1" customWidth="1"/>
    <col min="7183" max="7183" width="10.85546875" style="696" bestFit="1" customWidth="1"/>
    <col min="7184" max="7184" width="12.7109375" style="696" bestFit="1" customWidth="1"/>
    <col min="7185" max="7185" width="2.7109375" style="696" customWidth="1"/>
    <col min="7186" max="7186" width="11.7109375" style="696" bestFit="1" customWidth="1"/>
    <col min="7187" max="7424" width="8.85546875" style="696"/>
    <col min="7425" max="7425" width="1.7109375" style="696" customWidth="1"/>
    <col min="7426" max="7426" width="2.42578125" style="696" customWidth="1"/>
    <col min="7427" max="7427" width="1.7109375" style="696" customWidth="1"/>
    <col min="7428" max="7428" width="10.42578125" style="696" bestFit="1" customWidth="1"/>
    <col min="7429" max="7429" width="10.85546875" style="696" bestFit="1" customWidth="1"/>
    <col min="7430" max="7431" width="10.42578125" style="696" bestFit="1" customWidth="1"/>
    <col min="7432" max="7432" width="12.28515625" style="696" bestFit="1" customWidth="1"/>
    <col min="7433" max="7433" width="10.85546875" style="696" bestFit="1" customWidth="1"/>
    <col min="7434" max="7434" width="12.85546875" style="696" bestFit="1" customWidth="1"/>
    <col min="7435" max="7437" width="10.85546875" style="696" bestFit="1" customWidth="1"/>
    <col min="7438" max="7438" width="13" style="696" bestFit="1" customWidth="1"/>
    <col min="7439" max="7439" width="10.85546875" style="696" bestFit="1" customWidth="1"/>
    <col min="7440" max="7440" width="12.7109375" style="696" bestFit="1" customWidth="1"/>
    <col min="7441" max="7441" width="2.7109375" style="696" customWidth="1"/>
    <col min="7442" max="7442" width="11.7109375" style="696" bestFit="1" customWidth="1"/>
    <col min="7443" max="7680" width="8.85546875" style="696"/>
    <col min="7681" max="7681" width="1.7109375" style="696" customWidth="1"/>
    <col min="7682" max="7682" width="2.42578125" style="696" customWidth="1"/>
    <col min="7683" max="7683" width="1.7109375" style="696" customWidth="1"/>
    <col min="7684" max="7684" width="10.42578125" style="696" bestFit="1" customWidth="1"/>
    <col min="7685" max="7685" width="10.85546875" style="696" bestFit="1" customWidth="1"/>
    <col min="7686" max="7687" width="10.42578125" style="696" bestFit="1" customWidth="1"/>
    <col min="7688" max="7688" width="12.28515625" style="696" bestFit="1" customWidth="1"/>
    <col min="7689" max="7689" width="10.85546875" style="696" bestFit="1" customWidth="1"/>
    <col min="7690" max="7690" width="12.85546875" style="696" bestFit="1" customWidth="1"/>
    <col min="7691" max="7693" width="10.85546875" style="696" bestFit="1" customWidth="1"/>
    <col min="7694" max="7694" width="13" style="696" bestFit="1" customWidth="1"/>
    <col min="7695" max="7695" width="10.85546875" style="696" bestFit="1" customWidth="1"/>
    <col min="7696" max="7696" width="12.7109375" style="696" bestFit="1" customWidth="1"/>
    <col min="7697" max="7697" width="2.7109375" style="696" customWidth="1"/>
    <col min="7698" max="7698" width="11.7109375" style="696" bestFit="1" customWidth="1"/>
    <col min="7699" max="7936" width="8.85546875" style="696"/>
    <col min="7937" max="7937" width="1.7109375" style="696" customWidth="1"/>
    <col min="7938" max="7938" width="2.42578125" style="696" customWidth="1"/>
    <col min="7939" max="7939" width="1.7109375" style="696" customWidth="1"/>
    <col min="7940" max="7940" width="10.42578125" style="696" bestFit="1" customWidth="1"/>
    <col min="7941" max="7941" width="10.85546875" style="696" bestFit="1" customWidth="1"/>
    <col min="7942" max="7943" width="10.42578125" style="696" bestFit="1" customWidth="1"/>
    <col min="7944" max="7944" width="12.28515625" style="696" bestFit="1" customWidth="1"/>
    <col min="7945" max="7945" width="10.85546875" style="696" bestFit="1" customWidth="1"/>
    <col min="7946" max="7946" width="12.85546875" style="696" bestFit="1" customWidth="1"/>
    <col min="7947" max="7949" width="10.85546875" style="696" bestFit="1" customWidth="1"/>
    <col min="7950" max="7950" width="13" style="696" bestFit="1" customWidth="1"/>
    <col min="7951" max="7951" width="10.85546875" style="696" bestFit="1" customWidth="1"/>
    <col min="7952" max="7952" width="12.7109375" style="696" bestFit="1" customWidth="1"/>
    <col min="7953" max="7953" width="2.7109375" style="696" customWidth="1"/>
    <col min="7954" max="7954" width="11.7109375" style="696" bestFit="1" customWidth="1"/>
    <col min="7955" max="8192" width="8.85546875" style="696"/>
    <col min="8193" max="8193" width="1.7109375" style="696" customWidth="1"/>
    <col min="8194" max="8194" width="2.42578125" style="696" customWidth="1"/>
    <col min="8195" max="8195" width="1.7109375" style="696" customWidth="1"/>
    <col min="8196" max="8196" width="10.42578125" style="696" bestFit="1" customWidth="1"/>
    <col min="8197" max="8197" width="10.85546875" style="696" bestFit="1" customWidth="1"/>
    <col min="8198" max="8199" width="10.42578125" style="696" bestFit="1" customWidth="1"/>
    <col min="8200" max="8200" width="12.28515625" style="696" bestFit="1" customWidth="1"/>
    <col min="8201" max="8201" width="10.85546875" style="696" bestFit="1" customWidth="1"/>
    <col min="8202" max="8202" width="12.85546875" style="696" bestFit="1" customWidth="1"/>
    <col min="8203" max="8205" width="10.85546875" style="696" bestFit="1" customWidth="1"/>
    <col min="8206" max="8206" width="13" style="696" bestFit="1" customWidth="1"/>
    <col min="8207" max="8207" width="10.85546875" style="696" bestFit="1" customWidth="1"/>
    <col min="8208" max="8208" width="12.7109375" style="696" bestFit="1" customWidth="1"/>
    <col min="8209" max="8209" width="2.7109375" style="696" customWidth="1"/>
    <col min="8210" max="8210" width="11.7109375" style="696" bestFit="1" customWidth="1"/>
    <col min="8211" max="8448" width="8.85546875" style="696"/>
    <col min="8449" max="8449" width="1.7109375" style="696" customWidth="1"/>
    <col min="8450" max="8450" width="2.42578125" style="696" customWidth="1"/>
    <col min="8451" max="8451" width="1.7109375" style="696" customWidth="1"/>
    <col min="8452" max="8452" width="10.42578125" style="696" bestFit="1" customWidth="1"/>
    <col min="8453" max="8453" width="10.85546875" style="696" bestFit="1" customWidth="1"/>
    <col min="8454" max="8455" width="10.42578125" style="696" bestFit="1" customWidth="1"/>
    <col min="8456" max="8456" width="12.28515625" style="696" bestFit="1" customWidth="1"/>
    <col min="8457" max="8457" width="10.85546875" style="696" bestFit="1" customWidth="1"/>
    <col min="8458" max="8458" width="12.85546875" style="696" bestFit="1" customWidth="1"/>
    <col min="8459" max="8461" width="10.85546875" style="696" bestFit="1" customWidth="1"/>
    <col min="8462" max="8462" width="13" style="696" bestFit="1" customWidth="1"/>
    <col min="8463" max="8463" width="10.85546875" style="696" bestFit="1" customWidth="1"/>
    <col min="8464" max="8464" width="12.7109375" style="696" bestFit="1" customWidth="1"/>
    <col min="8465" max="8465" width="2.7109375" style="696" customWidth="1"/>
    <col min="8466" max="8466" width="11.7109375" style="696" bestFit="1" customWidth="1"/>
    <col min="8467" max="8704" width="8.85546875" style="696"/>
    <col min="8705" max="8705" width="1.7109375" style="696" customWidth="1"/>
    <col min="8706" max="8706" width="2.42578125" style="696" customWidth="1"/>
    <col min="8707" max="8707" width="1.7109375" style="696" customWidth="1"/>
    <col min="8708" max="8708" width="10.42578125" style="696" bestFit="1" customWidth="1"/>
    <col min="8709" max="8709" width="10.85546875" style="696" bestFit="1" customWidth="1"/>
    <col min="8710" max="8711" width="10.42578125" style="696" bestFit="1" customWidth="1"/>
    <col min="8712" max="8712" width="12.28515625" style="696" bestFit="1" customWidth="1"/>
    <col min="8713" max="8713" width="10.85546875" style="696" bestFit="1" customWidth="1"/>
    <col min="8714" max="8714" width="12.85546875" style="696" bestFit="1" customWidth="1"/>
    <col min="8715" max="8717" width="10.85546875" style="696" bestFit="1" customWidth="1"/>
    <col min="8718" max="8718" width="13" style="696" bestFit="1" customWidth="1"/>
    <col min="8719" max="8719" width="10.85546875" style="696" bestFit="1" customWidth="1"/>
    <col min="8720" max="8720" width="12.7109375" style="696" bestFit="1" customWidth="1"/>
    <col min="8721" max="8721" width="2.7109375" style="696" customWidth="1"/>
    <col min="8722" max="8722" width="11.7109375" style="696" bestFit="1" customWidth="1"/>
    <col min="8723" max="8960" width="8.85546875" style="696"/>
    <col min="8961" max="8961" width="1.7109375" style="696" customWidth="1"/>
    <col min="8962" max="8962" width="2.42578125" style="696" customWidth="1"/>
    <col min="8963" max="8963" width="1.7109375" style="696" customWidth="1"/>
    <col min="8964" max="8964" width="10.42578125" style="696" bestFit="1" customWidth="1"/>
    <col min="8965" max="8965" width="10.85546875" style="696" bestFit="1" customWidth="1"/>
    <col min="8966" max="8967" width="10.42578125" style="696" bestFit="1" customWidth="1"/>
    <col min="8968" max="8968" width="12.28515625" style="696" bestFit="1" customWidth="1"/>
    <col min="8969" max="8969" width="10.85546875" style="696" bestFit="1" customWidth="1"/>
    <col min="8970" max="8970" width="12.85546875" style="696" bestFit="1" customWidth="1"/>
    <col min="8971" max="8973" width="10.85546875" style="696" bestFit="1" customWidth="1"/>
    <col min="8974" max="8974" width="13" style="696" bestFit="1" customWidth="1"/>
    <col min="8975" max="8975" width="10.85546875" style="696" bestFit="1" customWidth="1"/>
    <col min="8976" max="8976" width="12.7109375" style="696" bestFit="1" customWidth="1"/>
    <col min="8977" max="8977" width="2.7109375" style="696" customWidth="1"/>
    <col min="8978" max="8978" width="11.7109375" style="696" bestFit="1" customWidth="1"/>
    <col min="8979" max="9216" width="8.85546875" style="696"/>
    <col min="9217" max="9217" width="1.7109375" style="696" customWidth="1"/>
    <col min="9218" max="9218" width="2.42578125" style="696" customWidth="1"/>
    <col min="9219" max="9219" width="1.7109375" style="696" customWidth="1"/>
    <col min="9220" max="9220" width="10.42578125" style="696" bestFit="1" customWidth="1"/>
    <col min="9221" max="9221" width="10.85546875" style="696" bestFit="1" customWidth="1"/>
    <col min="9222" max="9223" width="10.42578125" style="696" bestFit="1" customWidth="1"/>
    <col min="9224" max="9224" width="12.28515625" style="696" bestFit="1" customWidth="1"/>
    <col min="9225" max="9225" width="10.85546875" style="696" bestFit="1" customWidth="1"/>
    <col min="9226" max="9226" width="12.85546875" style="696" bestFit="1" customWidth="1"/>
    <col min="9227" max="9229" width="10.85546875" style="696" bestFit="1" customWidth="1"/>
    <col min="9230" max="9230" width="13" style="696" bestFit="1" customWidth="1"/>
    <col min="9231" max="9231" width="10.85546875" style="696" bestFit="1" customWidth="1"/>
    <col min="9232" max="9232" width="12.7109375" style="696" bestFit="1" customWidth="1"/>
    <col min="9233" max="9233" width="2.7109375" style="696" customWidth="1"/>
    <col min="9234" max="9234" width="11.7109375" style="696" bestFit="1" customWidth="1"/>
    <col min="9235" max="9472" width="8.85546875" style="696"/>
    <col min="9473" max="9473" width="1.7109375" style="696" customWidth="1"/>
    <col min="9474" max="9474" width="2.42578125" style="696" customWidth="1"/>
    <col min="9475" max="9475" width="1.7109375" style="696" customWidth="1"/>
    <col min="9476" max="9476" width="10.42578125" style="696" bestFit="1" customWidth="1"/>
    <col min="9477" max="9477" width="10.85546875" style="696" bestFit="1" customWidth="1"/>
    <col min="9478" max="9479" width="10.42578125" style="696" bestFit="1" customWidth="1"/>
    <col min="9480" max="9480" width="12.28515625" style="696" bestFit="1" customWidth="1"/>
    <col min="9481" max="9481" width="10.85546875" style="696" bestFit="1" customWidth="1"/>
    <col min="9482" max="9482" width="12.85546875" style="696" bestFit="1" customWidth="1"/>
    <col min="9483" max="9485" width="10.85546875" style="696" bestFit="1" customWidth="1"/>
    <col min="9486" max="9486" width="13" style="696" bestFit="1" customWidth="1"/>
    <col min="9487" max="9487" width="10.85546875" style="696" bestFit="1" customWidth="1"/>
    <col min="9488" max="9488" width="12.7109375" style="696" bestFit="1" customWidth="1"/>
    <col min="9489" max="9489" width="2.7109375" style="696" customWidth="1"/>
    <col min="9490" max="9490" width="11.7109375" style="696" bestFit="1" customWidth="1"/>
    <col min="9491" max="9728" width="8.85546875" style="696"/>
    <col min="9729" max="9729" width="1.7109375" style="696" customWidth="1"/>
    <col min="9730" max="9730" width="2.42578125" style="696" customWidth="1"/>
    <col min="9731" max="9731" width="1.7109375" style="696" customWidth="1"/>
    <col min="9732" max="9732" width="10.42578125" style="696" bestFit="1" customWidth="1"/>
    <col min="9733" max="9733" width="10.85546875" style="696" bestFit="1" customWidth="1"/>
    <col min="9734" max="9735" width="10.42578125" style="696" bestFit="1" customWidth="1"/>
    <col min="9736" max="9736" width="12.28515625" style="696" bestFit="1" customWidth="1"/>
    <col min="9737" max="9737" width="10.85546875" style="696" bestFit="1" customWidth="1"/>
    <col min="9738" max="9738" width="12.85546875" style="696" bestFit="1" customWidth="1"/>
    <col min="9739" max="9741" width="10.85546875" style="696" bestFit="1" customWidth="1"/>
    <col min="9742" max="9742" width="13" style="696" bestFit="1" customWidth="1"/>
    <col min="9743" max="9743" width="10.85546875" style="696" bestFit="1" customWidth="1"/>
    <col min="9744" max="9744" width="12.7109375" style="696" bestFit="1" customWidth="1"/>
    <col min="9745" max="9745" width="2.7109375" style="696" customWidth="1"/>
    <col min="9746" max="9746" width="11.7109375" style="696" bestFit="1" customWidth="1"/>
    <col min="9747" max="9984" width="8.85546875" style="696"/>
    <col min="9985" max="9985" width="1.7109375" style="696" customWidth="1"/>
    <col min="9986" max="9986" width="2.42578125" style="696" customWidth="1"/>
    <col min="9987" max="9987" width="1.7109375" style="696" customWidth="1"/>
    <col min="9988" max="9988" width="10.42578125" style="696" bestFit="1" customWidth="1"/>
    <col min="9989" max="9989" width="10.85546875" style="696" bestFit="1" customWidth="1"/>
    <col min="9990" max="9991" width="10.42578125" style="696" bestFit="1" customWidth="1"/>
    <col min="9992" max="9992" width="12.28515625" style="696" bestFit="1" customWidth="1"/>
    <col min="9993" max="9993" width="10.85546875" style="696" bestFit="1" customWidth="1"/>
    <col min="9994" max="9994" width="12.85546875" style="696" bestFit="1" customWidth="1"/>
    <col min="9995" max="9997" width="10.85546875" style="696" bestFit="1" customWidth="1"/>
    <col min="9998" max="9998" width="13" style="696" bestFit="1" customWidth="1"/>
    <col min="9999" max="9999" width="10.85546875" style="696" bestFit="1" customWidth="1"/>
    <col min="10000" max="10000" width="12.7109375" style="696" bestFit="1" customWidth="1"/>
    <col min="10001" max="10001" width="2.7109375" style="696" customWidth="1"/>
    <col min="10002" max="10002" width="11.7109375" style="696" bestFit="1" customWidth="1"/>
    <col min="10003" max="10240" width="8.85546875" style="696"/>
    <col min="10241" max="10241" width="1.7109375" style="696" customWidth="1"/>
    <col min="10242" max="10242" width="2.42578125" style="696" customWidth="1"/>
    <col min="10243" max="10243" width="1.7109375" style="696" customWidth="1"/>
    <col min="10244" max="10244" width="10.42578125" style="696" bestFit="1" customWidth="1"/>
    <col min="10245" max="10245" width="10.85546875" style="696" bestFit="1" customWidth="1"/>
    <col min="10246" max="10247" width="10.42578125" style="696" bestFit="1" customWidth="1"/>
    <col min="10248" max="10248" width="12.28515625" style="696" bestFit="1" customWidth="1"/>
    <col min="10249" max="10249" width="10.85546875" style="696" bestFit="1" customWidth="1"/>
    <col min="10250" max="10250" width="12.85546875" style="696" bestFit="1" customWidth="1"/>
    <col min="10251" max="10253" width="10.85546875" style="696" bestFit="1" customWidth="1"/>
    <col min="10254" max="10254" width="13" style="696" bestFit="1" customWidth="1"/>
    <col min="10255" max="10255" width="10.85546875" style="696" bestFit="1" customWidth="1"/>
    <col min="10256" max="10256" width="12.7109375" style="696" bestFit="1" customWidth="1"/>
    <col min="10257" max="10257" width="2.7109375" style="696" customWidth="1"/>
    <col min="10258" max="10258" width="11.7109375" style="696" bestFit="1" customWidth="1"/>
    <col min="10259" max="10496" width="8.85546875" style="696"/>
    <col min="10497" max="10497" width="1.7109375" style="696" customWidth="1"/>
    <col min="10498" max="10498" width="2.42578125" style="696" customWidth="1"/>
    <col min="10499" max="10499" width="1.7109375" style="696" customWidth="1"/>
    <col min="10500" max="10500" width="10.42578125" style="696" bestFit="1" customWidth="1"/>
    <col min="10501" max="10501" width="10.85546875" style="696" bestFit="1" customWidth="1"/>
    <col min="10502" max="10503" width="10.42578125" style="696" bestFit="1" customWidth="1"/>
    <col min="10504" max="10504" width="12.28515625" style="696" bestFit="1" customWidth="1"/>
    <col min="10505" max="10505" width="10.85546875" style="696" bestFit="1" customWidth="1"/>
    <col min="10506" max="10506" width="12.85546875" style="696" bestFit="1" customWidth="1"/>
    <col min="10507" max="10509" width="10.85546875" style="696" bestFit="1" customWidth="1"/>
    <col min="10510" max="10510" width="13" style="696" bestFit="1" customWidth="1"/>
    <col min="10511" max="10511" width="10.85546875" style="696" bestFit="1" customWidth="1"/>
    <col min="10512" max="10512" width="12.7109375" style="696" bestFit="1" customWidth="1"/>
    <col min="10513" max="10513" width="2.7109375" style="696" customWidth="1"/>
    <col min="10514" max="10514" width="11.7109375" style="696" bestFit="1" customWidth="1"/>
    <col min="10515" max="10752" width="8.85546875" style="696"/>
    <col min="10753" max="10753" width="1.7109375" style="696" customWidth="1"/>
    <col min="10754" max="10754" width="2.42578125" style="696" customWidth="1"/>
    <col min="10755" max="10755" width="1.7109375" style="696" customWidth="1"/>
    <col min="10756" max="10756" width="10.42578125" style="696" bestFit="1" customWidth="1"/>
    <col min="10757" max="10757" width="10.85546875" style="696" bestFit="1" customWidth="1"/>
    <col min="10758" max="10759" width="10.42578125" style="696" bestFit="1" customWidth="1"/>
    <col min="10760" max="10760" width="12.28515625" style="696" bestFit="1" customWidth="1"/>
    <col min="10761" max="10761" width="10.85546875" style="696" bestFit="1" customWidth="1"/>
    <col min="10762" max="10762" width="12.85546875" style="696" bestFit="1" customWidth="1"/>
    <col min="10763" max="10765" width="10.85546875" style="696" bestFit="1" customWidth="1"/>
    <col min="10766" max="10766" width="13" style="696" bestFit="1" customWidth="1"/>
    <col min="10767" max="10767" width="10.85546875" style="696" bestFit="1" customWidth="1"/>
    <col min="10768" max="10768" width="12.7109375" style="696" bestFit="1" customWidth="1"/>
    <col min="10769" max="10769" width="2.7109375" style="696" customWidth="1"/>
    <col min="10770" max="10770" width="11.7109375" style="696" bestFit="1" customWidth="1"/>
    <col min="10771" max="11008" width="8.85546875" style="696"/>
    <col min="11009" max="11009" width="1.7109375" style="696" customWidth="1"/>
    <col min="11010" max="11010" width="2.42578125" style="696" customWidth="1"/>
    <col min="11011" max="11011" width="1.7109375" style="696" customWidth="1"/>
    <col min="11012" max="11012" width="10.42578125" style="696" bestFit="1" customWidth="1"/>
    <col min="11013" max="11013" width="10.85546875" style="696" bestFit="1" customWidth="1"/>
    <col min="11014" max="11015" width="10.42578125" style="696" bestFit="1" customWidth="1"/>
    <col min="11016" max="11016" width="12.28515625" style="696" bestFit="1" customWidth="1"/>
    <col min="11017" max="11017" width="10.85546875" style="696" bestFit="1" customWidth="1"/>
    <col min="11018" max="11018" width="12.85546875" style="696" bestFit="1" customWidth="1"/>
    <col min="11019" max="11021" width="10.85546875" style="696" bestFit="1" customWidth="1"/>
    <col min="11022" max="11022" width="13" style="696" bestFit="1" customWidth="1"/>
    <col min="11023" max="11023" width="10.85546875" style="696" bestFit="1" customWidth="1"/>
    <col min="11024" max="11024" width="12.7109375" style="696" bestFit="1" customWidth="1"/>
    <col min="11025" max="11025" width="2.7109375" style="696" customWidth="1"/>
    <col min="11026" max="11026" width="11.7109375" style="696" bestFit="1" customWidth="1"/>
    <col min="11027" max="11264" width="8.85546875" style="696"/>
    <col min="11265" max="11265" width="1.7109375" style="696" customWidth="1"/>
    <col min="11266" max="11266" width="2.42578125" style="696" customWidth="1"/>
    <col min="11267" max="11267" width="1.7109375" style="696" customWidth="1"/>
    <col min="11268" max="11268" width="10.42578125" style="696" bestFit="1" customWidth="1"/>
    <col min="11269" max="11269" width="10.85546875" style="696" bestFit="1" customWidth="1"/>
    <col min="11270" max="11271" width="10.42578125" style="696" bestFit="1" customWidth="1"/>
    <col min="11272" max="11272" width="12.28515625" style="696" bestFit="1" customWidth="1"/>
    <col min="11273" max="11273" width="10.85546875" style="696" bestFit="1" customWidth="1"/>
    <col min="11274" max="11274" width="12.85546875" style="696" bestFit="1" customWidth="1"/>
    <col min="11275" max="11277" width="10.85546875" style="696" bestFit="1" customWidth="1"/>
    <col min="11278" max="11278" width="13" style="696" bestFit="1" customWidth="1"/>
    <col min="11279" max="11279" width="10.85546875" style="696" bestFit="1" customWidth="1"/>
    <col min="11280" max="11280" width="12.7109375" style="696" bestFit="1" customWidth="1"/>
    <col min="11281" max="11281" width="2.7109375" style="696" customWidth="1"/>
    <col min="11282" max="11282" width="11.7109375" style="696" bestFit="1" customWidth="1"/>
    <col min="11283" max="11520" width="8.85546875" style="696"/>
    <col min="11521" max="11521" width="1.7109375" style="696" customWidth="1"/>
    <col min="11522" max="11522" width="2.42578125" style="696" customWidth="1"/>
    <col min="11523" max="11523" width="1.7109375" style="696" customWidth="1"/>
    <col min="11524" max="11524" width="10.42578125" style="696" bestFit="1" customWidth="1"/>
    <col min="11525" max="11525" width="10.85546875" style="696" bestFit="1" customWidth="1"/>
    <col min="11526" max="11527" width="10.42578125" style="696" bestFit="1" customWidth="1"/>
    <col min="11528" max="11528" width="12.28515625" style="696" bestFit="1" customWidth="1"/>
    <col min="11529" max="11529" width="10.85546875" style="696" bestFit="1" customWidth="1"/>
    <col min="11530" max="11530" width="12.85546875" style="696" bestFit="1" customWidth="1"/>
    <col min="11531" max="11533" width="10.85546875" style="696" bestFit="1" customWidth="1"/>
    <col min="11534" max="11534" width="13" style="696" bestFit="1" customWidth="1"/>
    <col min="11535" max="11535" width="10.85546875" style="696" bestFit="1" customWidth="1"/>
    <col min="11536" max="11536" width="12.7109375" style="696" bestFit="1" customWidth="1"/>
    <col min="11537" max="11537" width="2.7109375" style="696" customWidth="1"/>
    <col min="11538" max="11538" width="11.7109375" style="696" bestFit="1" customWidth="1"/>
    <col min="11539" max="11776" width="8.85546875" style="696"/>
    <col min="11777" max="11777" width="1.7109375" style="696" customWidth="1"/>
    <col min="11778" max="11778" width="2.42578125" style="696" customWidth="1"/>
    <col min="11779" max="11779" width="1.7109375" style="696" customWidth="1"/>
    <col min="11780" max="11780" width="10.42578125" style="696" bestFit="1" customWidth="1"/>
    <col min="11781" max="11781" width="10.85546875" style="696" bestFit="1" customWidth="1"/>
    <col min="11782" max="11783" width="10.42578125" style="696" bestFit="1" customWidth="1"/>
    <col min="11784" max="11784" width="12.28515625" style="696" bestFit="1" customWidth="1"/>
    <col min="11785" max="11785" width="10.85546875" style="696" bestFit="1" customWidth="1"/>
    <col min="11786" max="11786" width="12.85546875" style="696" bestFit="1" customWidth="1"/>
    <col min="11787" max="11789" width="10.85546875" style="696" bestFit="1" customWidth="1"/>
    <col min="11790" max="11790" width="13" style="696" bestFit="1" customWidth="1"/>
    <col min="11791" max="11791" width="10.85546875" style="696" bestFit="1" customWidth="1"/>
    <col min="11792" max="11792" width="12.7109375" style="696" bestFit="1" customWidth="1"/>
    <col min="11793" max="11793" width="2.7109375" style="696" customWidth="1"/>
    <col min="11794" max="11794" width="11.7109375" style="696" bestFit="1" customWidth="1"/>
    <col min="11795" max="12032" width="8.85546875" style="696"/>
    <col min="12033" max="12033" width="1.7109375" style="696" customWidth="1"/>
    <col min="12034" max="12034" width="2.42578125" style="696" customWidth="1"/>
    <col min="12035" max="12035" width="1.7109375" style="696" customWidth="1"/>
    <col min="12036" max="12036" width="10.42578125" style="696" bestFit="1" customWidth="1"/>
    <col min="12037" max="12037" width="10.85546875" style="696" bestFit="1" customWidth="1"/>
    <col min="12038" max="12039" width="10.42578125" style="696" bestFit="1" customWidth="1"/>
    <col min="12040" max="12040" width="12.28515625" style="696" bestFit="1" customWidth="1"/>
    <col min="12041" max="12041" width="10.85546875" style="696" bestFit="1" customWidth="1"/>
    <col min="12042" max="12042" width="12.85546875" style="696" bestFit="1" customWidth="1"/>
    <col min="12043" max="12045" width="10.85546875" style="696" bestFit="1" customWidth="1"/>
    <col min="12046" max="12046" width="13" style="696" bestFit="1" customWidth="1"/>
    <col min="12047" max="12047" width="10.85546875" style="696" bestFit="1" customWidth="1"/>
    <col min="12048" max="12048" width="12.7109375" style="696" bestFit="1" customWidth="1"/>
    <col min="12049" max="12049" width="2.7109375" style="696" customWidth="1"/>
    <col min="12050" max="12050" width="11.7109375" style="696" bestFit="1" customWidth="1"/>
    <col min="12051" max="12288" width="8.85546875" style="696"/>
    <col min="12289" max="12289" width="1.7109375" style="696" customWidth="1"/>
    <col min="12290" max="12290" width="2.42578125" style="696" customWidth="1"/>
    <col min="12291" max="12291" width="1.7109375" style="696" customWidth="1"/>
    <col min="12292" max="12292" width="10.42578125" style="696" bestFit="1" customWidth="1"/>
    <col min="12293" max="12293" width="10.85546875" style="696" bestFit="1" customWidth="1"/>
    <col min="12294" max="12295" width="10.42578125" style="696" bestFit="1" customWidth="1"/>
    <col min="12296" max="12296" width="12.28515625" style="696" bestFit="1" customWidth="1"/>
    <col min="12297" max="12297" width="10.85546875" style="696" bestFit="1" customWidth="1"/>
    <col min="12298" max="12298" width="12.85546875" style="696" bestFit="1" customWidth="1"/>
    <col min="12299" max="12301" width="10.85546875" style="696" bestFit="1" customWidth="1"/>
    <col min="12302" max="12302" width="13" style="696" bestFit="1" customWidth="1"/>
    <col min="12303" max="12303" width="10.85546875" style="696" bestFit="1" customWidth="1"/>
    <col min="12304" max="12304" width="12.7109375" style="696" bestFit="1" customWidth="1"/>
    <col min="12305" max="12305" width="2.7109375" style="696" customWidth="1"/>
    <col min="12306" max="12306" width="11.7109375" style="696" bestFit="1" customWidth="1"/>
    <col min="12307" max="12544" width="8.85546875" style="696"/>
    <col min="12545" max="12545" width="1.7109375" style="696" customWidth="1"/>
    <col min="12546" max="12546" width="2.42578125" style="696" customWidth="1"/>
    <col min="12547" max="12547" width="1.7109375" style="696" customWidth="1"/>
    <col min="12548" max="12548" width="10.42578125" style="696" bestFit="1" customWidth="1"/>
    <col min="12549" max="12549" width="10.85546875" style="696" bestFit="1" customWidth="1"/>
    <col min="12550" max="12551" width="10.42578125" style="696" bestFit="1" customWidth="1"/>
    <col min="12552" max="12552" width="12.28515625" style="696" bestFit="1" customWidth="1"/>
    <col min="12553" max="12553" width="10.85546875" style="696" bestFit="1" customWidth="1"/>
    <col min="12554" max="12554" width="12.85546875" style="696" bestFit="1" customWidth="1"/>
    <col min="12555" max="12557" width="10.85546875" style="696" bestFit="1" customWidth="1"/>
    <col min="12558" max="12558" width="13" style="696" bestFit="1" customWidth="1"/>
    <col min="12559" max="12559" width="10.85546875" style="696" bestFit="1" customWidth="1"/>
    <col min="12560" max="12560" width="12.7109375" style="696" bestFit="1" customWidth="1"/>
    <col min="12561" max="12561" width="2.7109375" style="696" customWidth="1"/>
    <col min="12562" max="12562" width="11.7109375" style="696" bestFit="1" customWidth="1"/>
    <col min="12563" max="12800" width="8.85546875" style="696"/>
    <col min="12801" max="12801" width="1.7109375" style="696" customWidth="1"/>
    <col min="12802" max="12802" width="2.42578125" style="696" customWidth="1"/>
    <col min="12803" max="12803" width="1.7109375" style="696" customWidth="1"/>
    <col min="12804" max="12804" width="10.42578125" style="696" bestFit="1" customWidth="1"/>
    <col min="12805" max="12805" width="10.85546875" style="696" bestFit="1" customWidth="1"/>
    <col min="12806" max="12807" width="10.42578125" style="696" bestFit="1" customWidth="1"/>
    <col min="12808" max="12808" width="12.28515625" style="696" bestFit="1" customWidth="1"/>
    <col min="12809" max="12809" width="10.85546875" style="696" bestFit="1" customWidth="1"/>
    <col min="12810" max="12810" width="12.85546875" style="696" bestFit="1" customWidth="1"/>
    <col min="12811" max="12813" width="10.85546875" style="696" bestFit="1" customWidth="1"/>
    <col min="12814" max="12814" width="13" style="696" bestFit="1" customWidth="1"/>
    <col min="12815" max="12815" width="10.85546875" style="696" bestFit="1" customWidth="1"/>
    <col min="12816" max="12816" width="12.7109375" style="696" bestFit="1" customWidth="1"/>
    <col min="12817" max="12817" width="2.7109375" style="696" customWidth="1"/>
    <col min="12818" max="12818" width="11.7109375" style="696" bestFit="1" customWidth="1"/>
    <col min="12819" max="13056" width="8.85546875" style="696"/>
    <col min="13057" max="13057" width="1.7109375" style="696" customWidth="1"/>
    <col min="13058" max="13058" width="2.42578125" style="696" customWidth="1"/>
    <col min="13059" max="13059" width="1.7109375" style="696" customWidth="1"/>
    <col min="13060" max="13060" width="10.42578125" style="696" bestFit="1" customWidth="1"/>
    <col min="13061" max="13061" width="10.85546875" style="696" bestFit="1" customWidth="1"/>
    <col min="13062" max="13063" width="10.42578125" style="696" bestFit="1" customWidth="1"/>
    <col min="13064" max="13064" width="12.28515625" style="696" bestFit="1" customWidth="1"/>
    <col min="13065" max="13065" width="10.85546875" style="696" bestFit="1" customWidth="1"/>
    <col min="13066" max="13066" width="12.85546875" style="696" bestFit="1" customWidth="1"/>
    <col min="13067" max="13069" width="10.85546875" style="696" bestFit="1" customWidth="1"/>
    <col min="13070" max="13070" width="13" style="696" bestFit="1" customWidth="1"/>
    <col min="13071" max="13071" width="10.85546875" style="696" bestFit="1" customWidth="1"/>
    <col min="13072" max="13072" width="12.7109375" style="696" bestFit="1" customWidth="1"/>
    <col min="13073" max="13073" width="2.7109375" style="696" customWidth="1"/>
    <col min="13074" max="13074" width="11.7109375" style="696" bestFit="1" customWidth="1"/>
    <col min="13075" max="13312" width="8.85546875" style="696"/>
    <col min="13313" max="13313" width="1.7109375" style="696" customWidth="1"/>
    <col min="13314" max="13314" width="2.42578125" style="696" customWidth="1"/>
    <col min="13315" max="13315" width="1.7109375" style="696" customWidth="1"/>
    <col min="13316" max="13316" width="10.42578125" style="696" bestFit="1" customWidth="1"/>
    <col min="13317" max="13317" width="10.85546875" style="696" bestFit="1" customWidth="1"/>
    <col min="13318" max="13319" width="10.42578125" style="696" bestFit="1" customWidth="1"/>
    <col min="13320" max="13320" width="12.28515625" style="696" bestFit="1" customWidth="1"/>
    <col min="13321" max="13321" width="10.85546875" style="696" bestFit="1" customWidth="1"/>
    <col min="13322" max="13322" width="12.85546875" style="696" bestFit="1" customWidth="1"/>
    <col min="13323" max="13325" width="10.85546875" style="696" bestFit="1" customWidth="1"/>
    <col min="13326" max="13326" width="13" style="696" bestFit="1" customWidth="1"/>
    <col min="13327" max="13327" width="10.85546875" style="696" bestFit="1" customWidth="1"/>
    <col min="13328" max="13328" width="12.7109375" style="696" bestFit="1" customWidth="1"/>
    <col min="13329" max="13329" width="2.7109375" style="696" customWidth="1"/>
    <col min="13330" max="13330" width="11.7109375" style="696" bestFit="1" customWidth="1"/>
    <col min="13331" max="13568" width="8.85546875" style="696"/>
    <col min="13569" max="13569" width="1.7109375" style="696" customWidth="1"/>
    <col min="13570" max="13570" width="2.42578125" style="696" customWidth="1"/>
    <col min="13571" max="13571" width="1.7109375" style="696" customWidth="1"/>
    <col min="13572" max="13572" width="10.42578125" style="696" bestFit="1" customWidth="1"/>
    <col min="13573" max="13573" width="10.85546875" style="696" bestFit="1" customWidth="1"/>
    <col min="13574" max="13575" width="10.42578125" style="696" bestFit="1" customWidth="1"/>
    <col min="13576" max="13576" width="12.28515625" style="696" bestFit="1" customWidth="1"/>
    <col min="13577" max="13577" width="10.85546875" style="696" bestFit="1" customWidth="1"/>
    <col min="13578" max="13578" width="12.85546875" style="696" bestFit="1" customWidth="1"/>
    <col min="13579" max="13581" width="10.85546875" style="696" bestFit="1" customWidth="1"/>
    <col min="13582" max="13582" width="13" style="696" bestFit="1" customWidth="1"/>
    <col min="13583" max="13583" width="10.85546875" style="696" bestFit="1" customWidth="1"/>
    <col min="13584" max="13584" width="12.7109375" style="696" bestFit="1" customWidth="1"/>
    <col min="13585" max="13585" width="2.7109375" style="696" customWidth="1"/>
    <col min="13586" max="13586" width="11.7109375" style="696" bestFit="1" customWidth="1"/>
    <col min="13587" max="13824" width="8.85546875" style="696"/>
    <col min="13825" max="13825" width="1.7109375" style="696" customWidth="1"/>
    <col min="13826" max="13826" width="2.42578125" style="696" customWidth="1"/>
    <col min="13827" max="13827" width="1.7109375" style="696" customWidth="1"/>
    <col min="13828" max="13828" width="10.42578125" style="696" bestFit="1" customWidth="1"/>
    <col min="13829" max="13829" width="10.85546875" style="696" bestFit="1" customWidth="1"/>
    <col min="13830" max="13831" width="10.42578125" style="696" bestFit="1" customWidth="1"/>
    <col min="13832" max="13832" width="12.28515625" style="696" bestFit="1" customWidth="1"/>
    <col min="13833" max="13833" width="10.85546875" style="696" bestFit="1" customWidth="1"/>
    <col min="13834" max="13834" width="12.85546875" style="696" bestFit="1" customWidth="1"/>
    <col min="13835" max="13837" width="10.85546875" style="696" bestFit="1" customWidth="1"/>
    <col min="13838" max="13838" width="13" style="696" bestFit="1" customWidth="1"/>
    <col min="13839" max="13839" width="10.85546875" style="696" bestFit="1" customWidth="1"/>
    <col min="13840" max="13840" width="12.7109375" style="696" bestFit="1" customWidth="1"/>
    <col min="13841" max="13841" width="2.7109375" style="696" customWidth="1"/>
    <col min="13842" max="13842" width="11.7109375" style="696" bestFit="1" customWidth="1"/>
    <col min="13843" max="14080" width="8.85546875" style="696"/>
    <col min="14081" max="14081" width="1.7109375" style="696" customWidth="1"/>
    <col min="14082" max="14082" width="2.42578125" style="696" customWidth="1"/>
    <col min="14083" max="14083" width="1.7109375" style="696" customWidth="1"/>
    <col min="14084" max="14084" width="10.42578125" style="696" bestFit="1" customWidth="1"/>
    <col min="14085" max="14085" width="10.85546875" style="696" bestFit="1" customWidth="1"/>
    <col min="14086" max="14087" width="10.42578125" style="696" bestFit="1" customWidth="1"/>
    <col min="14088" max="14088" width="12.28515625" style="696" bestFit="1" customWidth="1"/>
    <col min="14089" max="14089" width="10.85546875" style="696" bestFit="1" customWidth="1"/>
    <col min="14090" max="14090" width="12.85546875" style="696" bestFit="1" customWidth="1"/>
    <col min="14091" max="14093" width="10.85546875" style="696" bestFit="1" customWidth="1"/>
    <col min="14094" max="14094" width="13" style="696" bestFit="1" customWidth="1"/>
    <col min="14095" max="14095" width="10.85546875" style="696" bestFit="1" customWidth="1"/>
    <col min="14096" max="14096" width="12.7109375" style="696" bestFit="1" customWidth="1"/>
    <col min="14097" max="14097" width="2.7109375" style="696" customWidth="1"/>
    <col min="14098" max="14098" width="11.7109375" style="696" bestFit="1" customWidth="1"/>
    <col min="14099" max="14336" width="8.85546875" style="696"/>
    <col min="14337" max="14337" width="1.7109375" style="696" customWidth="1"/>
    <col min="14338" max="14338" width="2.42578125" style="696" customWidth="1"/>
    <col min="14339" max="14339" width="1.7109375" style="696" customWidth="1"/>
    <col min="14340" max="14340" width="10.42578125" style="696" bestFit="1" customWidth="1"/>
    <col min="14341" max="14341" width="10.85546875" style="696" bestFit="1" customWidth="1"/>
    <col min="14342" max="14343" width="10.42578125" style="696" bestFit="1" customWidth="1"/>
    <col min="14344" max="14344" width="12.28515625" style="696" bestFit="1" customWidth="1"/>
    <col min="14345" max="14345" width="10.85546875" style="696" bestFit="1" customWidth="1"/>
    <col min="14346" max="14346" width="12.85546875" style="696" bestFit="1" customWidth="1"/>
    <col min="14347" max="14349" width="10.85546875" style="696" bestFit="1" customWidth="1"/>
    <col min="14350" max="14350" width="13" style="696" bestFit="1" customWidth="1"/>
    <col min="14351" max="14351" width="10.85546875" style="696" bestFit="1" customWidth="1"/>
    <col min="14352" max="14352" width="12.7109375" style="696" bestFit="1" customWidth="1"/>
    <col min="14353" max="14353" width="2.7109375" style="696" customWidth="1"/>
    <col min="14354" max="14354" width="11.7109375" style="696" bestFit="1" customWidth="1"/>
    <col min="14355" max="14592" width="8.85546875" style="696"/>
    <col min="14593" max="14593" width="1.7109375" style="696" customWidth="1"/>
    <col min="14594" max="14594" width="2.42578125" style="696" customWidth="1"/>
    <col min="14595" max="14595" width="1.7109375" style="696" customWidth="1"/>
    <col min="14596" max="14596" width="10.42578125" style="696" bestFit="1" customWidth="1"/>
    <col min="14597" max="14597" width="10.85546875" style="696" bestFit="1" customWidth="1"/>
    <col min="14598" max="14599" width="10.42578125" style="696" bestFit="1" customWidth="1"/>
    <col min="14600" max="14600" width="12.28515625" style="696" bestFit="1" customWidth="1"/>
    <col min="14601" max="14601" width="10.85546875" style="696" bestFit="1" customWidth="1"/>
    <col min="14602" max="14602" width="12.85546875" style="696" bestFit="1" customWidth="1"/>
    <col min="14603" max="14605" width="10.85546875" style="696" bestFit="1" customWidth="1"/>
    <col min="14606" max="14606" width="13" style="696" bestFit="1" customWidth="1"/>
    <col min="14607" max="14607" width="10.85546875" style="696" bestFit="1" customWidth="1"/>
    <col min="14608" max="14608" width="12.7109375" style="696" bestFit="1" customWidth="1"/>
    <col min="14609" max="14609" width="2.7109375" style="696" customWidth="1"/>
    <col min="14610" max="14610" width="11.7109375" style="696" bestFit="1" customWidth="1"/>
    <col min="14611" max="14848" width="8.85546875" style="696"/>
    <col min="14849" max="14849" width="1.7109375" style="696" customWidth="1"/>
    <col min="14850" max="14850" width="2.42578125" style="696" customWidth="1"/>
    <col min="14851" max="14851" width="1.7109375" style="696" customWidth="1"/>
    <col min="14852" max="14852" width="10.42578125" style="696" bestFit="1" customWidth="1"/>
    <col min="14853" max="14853" width="10.85546875" style="696" bestFit="1" customWidth="1"/>
    <col min="14854" max="14855" width="10.42578125" style="696" bestFit="1" customWidth="1"/>
    <col min="14856" max="14856" width="12.28515625" style="696" bestFit="1" customWidth="1"/>
    <col min="14857" max="14857" width="10.85546875" style="696" bestFit="1" customWidth="1"/>
    <col min="14858" max="14858" width="12.85546875" style="696" bestFit="1" customWidth="1"/>
    <col min="14859" max="14861" width="10.85546875" style="696" bestFit="1" customWidth="1"/>
    <col min="14862" max="14862" width="13" style="696" bestFit="1" customWidth="1"/>
    <col min="14863" max="14863" width="10.85546875" style="696" bestFit="1" customWidth="1"/>
    <col min="14864" max="14864" width="12.7109375" style="696" bestFit="1" customWidth="1"/>
    <col min="14865" max="14865" width="2.7109375" style="696" customWidth="1"/>
    <col min="14866" max="14866" width="11.7109375" style="696" bestFit="1" customWidth="1"/>
    <col min="14867" max="15104" width="8.85546875" style="696"/>
    <col min="15105" max="15105" width="1.7109375" style="696" customWidth="1"/>
    <col min="15106" max="15106" width="2.42578125" style="696" customWidth="1"/>
    <col min="15107" max="15107" width="1.7109375" style="696" customWidth="1"/>
    <col min="15108" max="15108" width="10.42578125" style="696" bestFit="1" customWidth="1"/>
    <col min="15109" max="15109" width="10.85546875" style="696" bestFit="1" customWidth="1"/>
    <col min="15110" max="15111" width="10.42578125" style="696" bestFit="1" customWidth="1"/>
    <col min="15112" max="15112" width="12.28515625" style="696" bestFit="1" customWidth="1"/>
    <col min="15113" max="15113" width="10.85546875" style="696" bestFit="1" customWidth="1"/>
    <col min="15114" max="15114" width="12.85546875" style="696" bestFit="1" customWidth="1"/>
    <col min="15115" max="15117" width="10.85546875" style="696" bestFit="1" customWidth="1"/>
    <col min="15118" max="15118" width="13" style="696" bestFit="1" customWidth="1"/>
    <col min="15119" max="15119" width="10.85546875" style="696" bestFit="1" customWidth="1"/>
    <col min="15120" max="15120" width="12.7109375" style="696" bestFit="1" customWidth="1"/>
    <col min="15121" max="15121" width="2.7109375" style="696" customWidth="1"/>
    <col min="15122" max="15122" width="11.7109375" style="696" bestFit="1" customWidth="1"/>
    <col min="15123" max="15360" width="8.85546875" style="696"/>
    <col min="15361" max="15361" width="1.7109375" style="696" customWidth="1"/>
    <col min="15362" max="15362" width="2.42578125" style="696" customWidth="1"/>
    <col min="15363" max="15363" width="1.7109375" style="696" customWidth="1"/>
    <col min="15364" max="15364" width="10.42578125" style="696" bestFit="1" customWidth="1"/>
    <col min="15365" max="15365" width="10.85546875" style="696" bestFit="1" customWidth="1"/>
    <col min="15366" max="15367" width="10.42578125" style="696" bestFit="1" customWidth="1"/>
    <col min="15368" max="15368" width="12.28515625" style="696" bestFit="1" customWidth="1"/>
    <col min="15369" max="15369" width="10.85546875" style="696" bestFit="1" customWidth="1"/>
    <col min="15370" max="15370" width="12.85546875" style="696" bestFit="1" customWidth="1"/>
    <col min="15371" max="15373" width="10.85546875" style="696" bestFit="1" customWidth="1"/>
    <col min="15374" max="15374" width="13" style="696" bestFit="1" customWidth="1"/>
    <col min="15375" max="15375" width="10.85546875" style="696" bestFit="1" customWidth="1"/>
    <col min="15376" max="15376" width="12.7109375" style="696" bestFit="1" customWidth="1"/>
    <col min="15377" max="15377" width="2.7109375" style="696" customWidth="1"/>
    <col min="15378" max="15378" width="11.7109375" style="696" bestFit="1" customWidth="1"/>
    <col min="15379" max="15616" width="8.85546875" style="696"/>
    <col min="15617" max="15617" width="1.7109375" style="696" customWidth="1"/>
    <col min="15618" max="15618" width="2.42578125" style="696" customWidth="1"/>
    <col min="15619" max="15619" width="1.7109375" style="696" customWidth="1"/>
    <col min="15620" max="15620" width="10.42578125" style="696" bestFit="1" customWidth="1"/>
    <col min="15621" max="15621" width="10.85546875" style="696" bestFit="1" customWidth="1"/>
    <col min="15622" max="15623" width="10.42578125" style="696" bestFit="1" customWidth="1"/>
    <col min="15624" max="15624" width="12.28515625" style="696" bestFit="1" customWidth="1"/>
    <col min="15625" max="15625" width="10.85546875" style="696" bestFit="1" customWidth="1"/>
    <col min="15626" max="15626" width="12.85546875" style="696" bestFit="1" customWidth="1"/>
    <col min="15627" max="15629" width="10.85546875" style="696" bestFit="1" customWidth="1"/>
    <col min="15630" max="15630" width="13" style="696" bestFit="1" customWidth="1"/>
    <col min="15631" max="15631" width="10.85546875" style="696" bestFit="1" customWidth="1"/>
    <col min="15632" max="15632" width="12.7109375" style="696" bestFit="1" customWidth="1"/>
    <col min="15633" max="15633" width="2.7109375" style="696" customWidth="1"/>
    <col min="15634" max="15634" width="11.7109375" style="696" bestFit="1" customWidth="1"/>
    <col min="15635" max="15872" width="8.85546875" style="696"/>
    <col min="15873" max="15873" width="1.7109375" style="696" customWidth="1"/>
    <col min="15874" max="15874" width="2.42578125" style="696" customWidth="1"/>
    <col min="15875" max="15875" width="1.7109375" style="696" customWidth="1"/>
    <col min="15876" max="15876" width="10.42578125" style="696" bestFit="1" customWidth="1"/>
    <col min="15877" max="15877" width="10.85546875" style="696" bestFit="1" customWidth="1"/>
    <col min="15878" max="15879" width="10.42578125" style="696" bestFit="1" customWidth="1"/>
    <col min="15880" max="15880" width="12.28515625" style="696" bestFit="1" customWidth="1"/>
    <col min="15881" max="15881" width="10.85546875" style="696" bestFit="1" customWidth="1"/>
    <col min="15882" max="15882" width="12.85546875" style="696" bestFit="1" customWidth="1"/>
    <col min="15883" max="15885" width="10.85546875" style="696" bestFit="1" customWidth="1"/>
    <col min="15886" max="15886" width="13" style="696" bestFit="1" customWidth="1"/>
    <col min="15887" max="15887" width="10.85546875" style="696" bestFit="1" customWidth="1"/>
    <col min="15888" max="15888" width="12.7109375" style="696" bestFit="1" customWidth="1"/>
    <col min="15889" max="15889" width="2.7109375" style="696" customWidth="1"/>
    <col min="15890" max="15890" width="11.7109375" style="696" bestFit="1" customWidth="1"/>
    <col min="15891" max="16128" width="8.85546875" style="696"/>
    <col min="16129" max="16129" width="1.7109375" style="696" customWidth="1"/>
    <col min="16130" max="16130" width="2.42578125" style="696" customWidth="1"/>
    <col min="16131" max="16131" width="1.7109375" style="696" customWidth="1"/>
    <col min="16132" max="16132" width="10.42578125" style="696" bestFit="1" customWidth="1"/>
    <col min="16133" max="16133" width="10.85546875" style="696" bestFit="1" customWidth="1"/>
    <col min="16134" max="16135" width="10.42578125" style="696" bestFit="1" customWidth="1"/>
    <col min="16136" max="16136" width="12.28515625" style="696" bestFit="1" customWidth="1"/>
    <col min="16137" max="16137" width="10.85546875" style="696" bestFit="1" customWidth="1"/>
    <col min="16138" max="16138" width="12.85546875" style="696" bestFit="1" customWidth="1"/>
    <col min="16139" max="16141" width="10.85546875" style="696" bestFit="1" customWidth="1"/>
    <col min="16142" max="16142" width="13" style="696" bestFit="1" customWidth="1"/>
    <col min="16143" max="16143" width="10.85546875" style="696" bestFit="1" customWidth="1"/>
    <col min="16144" max="16144" width="12.7109375" style="696" bestFit="1" customWidth="1"/>
    <col min="16145" max="16145" width="2.7109375" style="696" customWidth="1"/>
    <col min="16146" max="16146" width="11.7109375" style="696" bestFit="1" customWidth="1"/>
    <col min="16147" max="16384" width="8.85546875" style="696"/>
  </cols>
  <sheetData>
    <row r="1" spans="1:18" s="656" customFormat="1" ht="18.75" thickBot="1">
      <c r="A1" s="642"/>
      <c r="B1" s="653" t="str">
        <f>"Discounted Cash Flow Analysis for "&amp;name</f>
        <v>Discounted Cash Flow Analysis for McCormick &amp; Co. Inc.</v>
      </c>
      <c r="C1" s="653"/>
      <c r="D1" s="654"/>
      <c r="E1" s="655"/>
      <c r="F1" s="655"/>
      <c r="G1" s="655"/>
      <c r="H1" s="655"/>
      <c r="I1" s="655"/>
      <c r="J1" s="655"/>
      <c r="K1" s="655"/>
      <c r="L1" s="655"/>
      <c r="M1" s="655"/>
      <c r="N1" s="655"/>
      <c r="O1" s="655"/>
      <c r="P1" s="655"/>
      <c r="Q1" s="655"/>
      <c r="R1" s="655"/>
    </row>
    <row r="2" spans="1:18" s="661" customFormat="1" ht="12.75">
      <c r="A2" s="642"/>
      <c r="B2" s="657" t="str">
        <f>Subheader</f>
        <v>Dollars in millions, except per share data</v>
      </c>
      <c r="C2" s="657"/>
      <c r="D2" s="658"/>
      <c r="E2" s="659"/>
      <c r="F2" s="659"/>
      <c r="G2" s="659"/>
      <c r="H2" s="659"/>
      <c r="I2" s="659"/>
      <c r="J2" s="659"/>
      <c r="K2" s="659"/>
      <c r="L2" s="659"/>
      <c r="M2" s="659"/>
      <c r="N2" s="659"/>
      <c r="O2" s="660"/>
      <c r="P2" s="659"/>
      <c r="Q2" s="659"/>
      <c r="R2" s="659"/>
    </row>
    <row r="3" spans="1:18" s="661" customFormat="1" ht="12.75">
      <c r="A3" s="642"/>
      <c r="B3" s="662"/>
      <c r="C3" s="662"/>
      <c r="D3" s="663"/>
      <c r="E3" s="664"/>
      <c r="F3" s="664"/>
      <c r="G3" s="664"/>
      <c r="H3" s="664"/>
      <c r="I3" s="664"/>
      <c r="J3" s="664"/>
      <c r="K3" s="664"/>
      <c r="L3" s="664"/>
      <c r="M3" s="664"/>
      <c r="N3" s="664"/>
      <c r="P3" s="664"/>
      <c r="Q3" s="664"/>
      <c r="R3" s="664"/>
    </row>
    <row r="4" spans="1:18" s="665" customFormat="1" ht="12.75">
      <c r="A4" s="642"/>
      <c r="I4" s="666" t="str">
        <f>is!I4</f>
        <v>Historical Year Ending November 30,</v>
      </c>
      <c r="J4" s="667"/>
      <c r="K4" s="667"/>
      <c r="L4" s="668" t="str">
        <f>is!L4</f>
        <v>Projected Year Ending November 30,</v>
      </c>
      <c r="M4" s="669"/>
      <c r="N4" s="669"/>
      <c r="O4" s="669"/>
      <c r="P4" s="670"/>
      <c r="R4" s="671" t="str">
        <f>K5&amp;" - "&amp;P5</f>
        <v>2013 - 2018</v>
      </c>
    </row>
    <row r="5" spans="1:18" s="665" customFormat="1" ht="12.75">
      <c r="A5" s="642"/>
      <c r="I5" s="672">
        <f>is!I5</f>
        <v>2011</v>
      </c>
      <c r="J5" s="672">
        <f>is!J5</f>
        <v>2012</v>
      </c>
      <c r="K5" s="672">
        <f>is!K5</f>
        <v>2013</v>
      </c>
      <c r="L5" s="672">
        <f>is!L5</f>
        <v>2014</v>
      </c>
      <c r="M5" s="672">
        <f>is!M5</f>
        <v>2015</v>
      </c>
      <c r="N5" s="672">
        <f>is!N5</f>
        <v>2016</v>
      </c>
      <c r="O5" s="672">
        <f>is!O5</f>
        <v>2017</v>
      </c>
      <c r="P5" s="672">
        <f>is!P5</f>
        <v>2018</v>
      </c>
      <c r="R5" s="673" t="s">
        <v>82</v>
      </c>
    </row>
    <row r="6" spans="1:18" s="665" customFormat="1" ht="5.25" customHeight="1">
      <c r="A6" s="642"/>
      <c r="R6" s="674"/>
    </row>
    <row r="7" spans="1:18" s="665" customFormat="1" ht="12.75">
      <c r="A7" s="642" t="s">
        <v>43</v>
      </c>
      <c r="B7" s="675" t="s">
        <v>83</v>
      </c>
      <c r="C7" s="675"/>
      <c r="D7" s="675"/>
      <c r="I7" s="676">
        <f>is!I7</f>
        <v>3697.6</v>
      </c>
      <c r="J7" s="676">
        <f>is!J7</f>
        <v>4014.2</v>
      </c>
      <c r="K7" s="676">
        <f>is!K7</f>
        <v>4123.3999999999996</v>
      </c>
      <c r="L7" s="676">
        <f>is!L7</f>
        <v>4288.3359999999993</v>
      </c>
      <c r="M7" s="676">
        <f>is!M7</f>
        <v>4472.7344479999992</v>
      </c>
      <c r="N7" s="676">
        <f>is!N7</f>
        <v>4678.4802326079998</v>
      </c>
      <c r="O7" s="676">
        <f>is!O7</f>
        <v>4907.7257640057915</v>
      </c>
      <c r="P7" s="676">
        <f>is!P7</f>
        <v>5162.9275037340931</v>
      </c>
      <c r="R7" s="677">
        <f>RATE(P$5-K$5,0,-K7,P7)</f>
        <v>4.5991395708611792E-2</v>
      </c>
    </row>
    <row r="8" spans="1:18" s="665" customFormat="1" ht="5.25" customHeight="1">
      <c r="A8" s="642"/>
      <c r="B8" s="675"/>
      <c r="C8" s="675"/>
      <c r="D8" s="675"/>
      <c r="I8" s="678"/>
      <c r="J8" s="678"/>
      <c r="K8" s="678"/>
      <c r="L8" s="678"/>
      <c r="M8" s="678"/>
      <c r="N8" s="678"/>
      <c r="O8" s="678"/>
      <c r="P8" s="678"/>
      <c r="R8" s="677"/>
    </row>
    <row r="9" spans="1:18" s="665" customFormat="1" ht="12.75">
      <c r="A9" s="642"/>
      <c r="B9" s="675" t="s">
        <v>85</v>
      </c>
      <c r="C9" s="675"/>
      <c r="D9" s="675"/>
      <c r="I9" s="678">
        <f>is!I12</f>
        <v>649.49999999999989</v>
      </c>
      <c r="J9" s="678">
        <f>is!J12</f>
        <v>682.79999999999973</v>
      </c>
      <c r="K9" s="678">
        <f>is!K12</f>
        <v>701.09999999999991</v>
      </c>
      <c r="L9" s="678">
        <f>is!L12</f>
        <v>733.30545600000005</v>
      </c>
      <c r="M9" s="678">
        <f>is!M12</f>
        <v>778.2557939520002</v>
      </c>
      <c r="N9" s="678">
        <f>is!N12</f>
        <v>828.09100117161597</v>
      </c>
      <c r="O9" s="678">
        <f>is!O12</f>
        <v>883.39063752104289</v>
      </c>
      <c r="P9" s="678">
        <f>is!P12</f>
        <v>944.81573318333949</v>
      </c>
      <c r="R9" s="677">
        <f>RATE(P$5-K$5,0,-K9,P9)</f>
        <v>6.1483945171963088E-2</v>
      </c>
    </row>
    <row r="10" spans="1:18" s="665" customFormat="1" ht="12.75">
      <c r="A10" s="642"/>
      <c r="B10" s="675" t="s">
        <v>285</v>
      </c>
      <c r="C10" s="675"/>
      <c r="D10" s="675"/>
      <c r="I10" s="678">
        <f>-is!I14</f>
        <v>-95</v>
      </c>
      <c r="J10" s="678">
        <f>-is!J14</f>
        <v>-98.5</v>
      </c>
      <c r="K10" s="678">
        <f>-is!K14</f>
        <v>-100.8</v>
      </c>
      <c r="L10" s="678">
        <f>-is!L14</f>
        <v>-109</v>
      </c>
      <c r="M10" s="678">
        <f>-is!M14</f>
        <v>-110.20817679871998</v>
      </c>
      <c r="N10" s="678">
        <f>-is!N14</f>
        <v>-120.51765079198208</v>
      </c>
      <c r="O10" s="678">
        <f>-is!O14</f>
        <v>-131.91966853647568</v>
      </c>
      <c r="P10" s="678">
        <f>-is!P14</f>
        <v>-144.5619701045546</v>
      </c>
      <c r="R10" s="677"/>
    </row>
    <row r="11" spans="1:18" s="665" customFormat="1" ht="12.75">
      <c r="A11" s="642"/>
      <c r="B11" s="675" t="s">
        <v>286</v>
      </c>
      <c r="C11" s="675"/>
      <c r="D11" s="675"/>
      <c r="I11" s="679">
        <f>-is!I15</f>
        <v>-3.3</v>
      </c>
      <c r="J11" s="678">
        <f>-is!J15</f>
        <v>-4.3</v>
      </c>
      <c r="K11" s="678">
        <f>-is!K15</f>
        <v>-5.2</v>
      </c>
      <c r="L11" s="678">
        <f>-is!L15</f>
        <v>-4</v>
      </c>
      <c r="M11" s="678">
        <f>-is!M15</f>
        <v>-4</v>
      </c>
      <c r="N11" s="678">
        <f>-is!N15</f>
        <v>-4</v>
      </c>
      <c r="O11" s="678">
        <f>-is!O15</f>
        <v>-4</v>
      </c>
      <c r="P11" s="678">
        <f>-is!P15</f>
        <v>-4</v>
      </c>
      <c r="R11" s="677"/>
    </row>
    <row r="12" spans="1:18" s="665" customFormat="1" ht="12.75">
      <c r="A12" s="642"/>
      <c r="B12" s="675" t="s">
        <v>84</v>
      </c>
      <c r="C12" s="675"/>
      <c r="D12" s="675"/>
      <c r="I12" s="680">
        <f>SUM(I9:I11)</f>
        <v>551.19999999999993</v>
      </c>
      <c r="J12" s="680">
        <f t="shared" ref="J12:P12" si="0">SUM(J9:J11)</f>
        <v>579.99999999999977</v>
      </c>
      <c r="K12" s="680">
        <f t="shared" si="0"/>
        <v>595.09999999999991</v>
      </c>
      <c r="L12" s="680">
        <f t="shared" si="0"/>
        <v>620.30545600000005</v>
      </c>
      <c r="M12" s="680">
        <f t="shared" si="0"/>
        <v>664.04761715328027</v>
      </c>
      <c r="N12" s="680">
        <f t="shared" si="0"/>
        <v>703.57335037963389</v>
      </c>
      <c r="O12" s="680">
        <f t="shared" si="0"/>
        <v>747.47096898456721</v>
      </c>
      <c r="P12" s="680">
        <f t="shared" si="0"/>
        <v>796.25376307878491</v>
      </c>
      <c r="R12" s="677">
        <f>RATE(P$5-K$5,0,-K12,P12)</f>
        <v>5.996691444085854E-2</v>
      </c>
    </row>
    <row r="13" spans="1:18" s="665" customFormat="1" ht="12.75">
      <c r="A13" s="642"/>
      <c r="B13" s="675" t="s">
        <v>287</v>
      </c>
      <c r="C13" s="675"/>
      <c r="D13" s="675"/>
      <c r="E13" s="681">
        <f>35%+1.2%-6.9%</f>
        <v>0.29299999999999998</v>
      </c>
      <c r="I13" s="682">
        <f>-I12*$E13</f>
        <v>-161.50159999999997</v>
      </c>
      <c r="J13" s="682">
        <f t="shared" ref="J13:P13" si="1">-J12*$E13</f>
        <v>-169.93999999999991</v>
      </c>
      <c r="K13" s="682">
        <f t="shared" si="1"/>
        <v>-174.36429999999996</v>
      </c>
      <c r="L13" s="682">
        <f t="shared" si="1"/>
        <v>-181.74949860800001</v>
      </c>
      <c r="M13" s="682">
        <f t="shared" si="1"/>
        <v>-194.5659518259111</v>
      </c>
      <c r="N13" s="682">
        <f t="shared" si="1"/>
        <v>-206.14699166123273</v>
      </c>
      <c r="O13" s="682">
        <f t="shared" si="1"/>
        <v>-219.00899391247819</v>
      </c>
      <c r="P13" s="682">
        <f t="shared" si="1"/>
        <v>-233.30235258208396</v>
      </c>
    </row>
    <row r="14" spans="1:18" s="665" customFormat="1" ht="12.75">
      <c r="A14" s="642" t="s">
        <v>43</v>
      </c>
      <c r="B14" s="675" t="s">
        <v>288</v>
      </c>
      <c r="C14" s="675"/>
      <c r="D14" s="675"/>
      <c r="I14" s="680">
        <f>SUM(I12:I13)</f>
        <v>389.69839999999999</v>
      </c>
      <c r="J14" s="680">
        <f t="shared" ref="J14:P14" si="2">SUM(J12:J13)</f>
        <v>410.05999999999983</v>
      </c>
      <c r="K14" s="680">
        <f t="shared" si="2"/>
        <v>420.73569999999995</v>
      </c>
      <c r="L14" s="680">
        <f t="shared" si="2"/>
        <v>438.55595739200004</v>
      </c>
      <c r="M14" s="680">
        <f t="shared" si="2"/>
        <v>469.48166532736917</v>
      </c>
      <c r="N14" s="680">
        <f t="shared" si="2"/>
        <v>497.42635871840116</v>
      </c>
      <c r="O14" s="680">
        <f t="shared" si="2"/>
        <v>528.46197507208899</v>
      </c>
      <c r="P14" s="680">
        <f t="shared" si="2"/>
        <v>562.95141049670099</v>
      </c>
    </row>
    <row r="15" spans="1:18" s="665" customFormat="1" ht="11.65" customHeight="1">
      <c r="A15" s="642"/>
      <c r="I15" s="683"/>
      <c r="J15" s="683"/>
      <c r="K15" s="684"/>
      <c r="L15" s="684"/>
      <c r="M15" s="684"/>
      <c r="N15" s="684"/>
      <c r="O15" s="684"/>
      <c r="P15" s="684"/>
    </row>
    <row r="16" spans="1:18" s="665" customFormat="1" ht="12.75">
      <c r="A16" s="642"/>
      <c r="B16" s="675" t="s">
        <v>289</v>
      </c>
      <c r="C16" s="675"/>
      <c r="D16" s="675"/>
      <c r="I16" s="684"/>
      <c r="J16" s="684"/>
      <c r="K16" s="684"/>
      <c r="L16" s="684">
        <f t="shared" ref="L16:P17" si="3">-L10</f>
        <v>109</v>
      </c>
      <c r="M16" s="684">
        <f t="shared" si="3"/>
        <v>110.20817679871998</v>
      </c>
      <c r="N16" s="684">
        <f t="shared" si="3"/>
        <v>120.51765079198208</v>
      </c>
      <c r="O16" s="684">
        <f t="shared" si="3"/>
        <v>131.91966853647568</v>
      </c>
      <c r="P16" s="684">
        <f t="shared" si="3"/>
        <v>144.5619701045546</v>
      </c>
    </row>
    <row r="17" spans="1:18" s="665" customFormat="1" ht="12.75">
      <c r="A17" s="642"/>
      <c r="B17" s="675" t="s">
        <v>290</v>
      </c>
      <c r="C17" s="675"/>
      <c r="D17" s="675"/>
      <c r="I17" s="684"/>
      <c r="J17" s="684"/>
      <c r="K17" s="684"/>
      <c r="L17" s="684">
        <f t="shared" si="3"/>
        <v>4</v>
      </c>
      <c r="M17" s="684">
        <f t="shared" si="3"/>
        <v>4</v>
      </c>
      <c r="N17" s="684">
        <f t="shared" si="3"/>
        <v>4</v>
      </c>
      <c r="O17" s="684">
        <f t="shared" si="3"/>
        <v>4</v>
      </c>
      <c r="P17" s="684">
        <f t="shared" si="3"/>
        <v>4</v>
      </c>
    </row>
    <row r="18" spans="1:18" s="665" customFormat="1" ht="12.75">
      <c r="A18" s="642"/>
      <c r="B18" s="675" t="s">
        <v>291</v>
      </c>
      <c r="C18" s="675"/>
      <c r="D18" s="675"/>
      <c r="I18" s="684"/>
      <c r="J18" s="684"/>
      <c r="K18" s="684"/>
      <c r="L18" s="685">
        <f>-dep!L8</f>
        <v>-125</v>
      </c>
      <c r="M18" s="685">
        <f>-dep!M8</f>
        <v>-125.23656454399998</v>
      </c>
      <c r="N18" s="685">
        <f>-dep!N8</f>
        <v>-130.99744651302399</v>
      </c>
      <c r="O18" s="685">
        <f>-dep!O8</f>
        <v>-137.41632139216216</v>
      </c>
      <c r="P18" s="685">
        <f>-dep!P8</f>
        <v>-144.5619701045546</v>
      </c>
    </row>
    <row r="19" spans="1:18" s="665" customFormat="1" ht="12.75">
      <c r="A19" s="642"/>
      <c r="B19" s="675" t="s">
        <v>292</v>
      </c>
      <c r="C19" s="675"/>
      <c r="D19" s="675"/>
      <c r="I19" s="684"/>
      <c r="J19" s="684"/>
      <c r="K19" s="684"/>
      <c r="L19" s="678">
        <f>-amort!L8</f>
        <v>-5</v>
      </c>
      <c r="M19" s="678">
        <f>-amort!M8</f>
        <v>-5</v>
      </c>
      <c r="N19" s="678">
        <f>-amort!N8</f>
        <v>-5</v>
      </c>
      <c r="O19" s="678">
        <f>-amort!O8</f>
        <v>-5</v>
      </c>
      <c r="P19" s="678">
        <f>-amort!P8</f>
        <v>-5</v>
      </c>
    </row>
    <row r="20" spans="1:18" s="665" customFormat="1" ht="12.75">
      <c r="A20" s="642"/>
      <c r="B20" s="675" t="s">
        <v>293</v>
      </c>
      <c r="C20" s="675"/>
      <c r="D20" s="675"/>
      <c r="E20" s="675"/>
      <c r="I20" s="684"/>
      <c r="J20" s="684"/>
      <c r="K20" s="684"/>
      <c r="L20" s="678">
        <f>workingcap!L22</f>
        <v>-12.195800046027216</v>
      </c>
      <c r="M20" s="678">
        <f>workingcap!M22</f>
        <v>-13.973769021665817</v>
      </c>
      <c r="N20" s="678">
        <f>workingcap!N22</f>
        <v>-15.791371295553972</v>
      </c>
      <c r="O20" s="678">
        <f>workingcap!O22</f>
        <v>-17.754048677086644</v>
      </c>
      <c r="P20" s="678">
        <f>workingcap!P22</f>
        <v>-19.883122511985448</v>
      </c>
    </row>
    <row r="21" spans="1:18" s="665" customFormat="1" ht="12.75">
      <c r="A21" s="642"/>
      <c r="B21" s="675" t="s">
        <v>294</v>
      </c>
      <c r="C21" s="675"/>
      <c r="D21" s="675"/>
      <c r="I21" s="682"/>
      <c r="J21" s="682"/>
      <c r="K21" s="682"/>
      <c r="L21" s="678">
        <f>other!L19</f>
        <v>0</v>
      </c>
      <c r="M21" s="678">
        <f>other!M19</f>
        <v>0</v>
      </c>
      <c r="N21" s="678">
        <f>other!N19</f>
        <v>0</v>
      </c>
      <c r="O21" s="678">
        <f>other!O19</f>
        <v>0</v>
      </c>
      <c r="P21" s="678">
        <f>other!P19</f>
        <v>0</v>
      </c>
    </row>
    <row r="22" spans="1:18" s="665" customFormat="1" ht="5.25" customHeight="1">
      <c r="A22" s="642"/>
      <c r="I22" s="686"/>
      <c r="J22" s="686"/>
      <c r="K22" s="686"/>
      <c r="L22" s="687"/>
      <c r="M22" s="687"/>
      <c r="N22" s="687"/>
      <c r="O22" s="687"/>
      <c r="P22" s="687"/>
    </row>
    <row r="23" spans="1:18" s="689" customFormat="1" ht="12.75">
      <c r="A23" s="642" t="s">
        <v>43</v>
      </c>
      <c r="B23" s="688" t="s">
        <v>295</v>
      </c>
      <c r="C23" s="688"/>
      <c r="D23" s="688"/>
      <c r="I23" s="690"/>
      <c r="J23" s="690"/>
      <c r="K23" s="690"/>
      <c r="L23" s="691">
        <f>SUM(L14:L21)</f>
        <v>409.36015734597277</v>
      </c>
      <c r="M23" s="691">
        <f>SUM(M14:M21)</f>
        <v>439.47950856042337</v>
      </c>
      <c r="N23" s="691">
        <f>SUM(N14:N21)</f>
        <v>470.15519170180528</v>
      </c>
      <c r="O23" s="691">
        <f>SUM(O14:O21)</f>
        <v>504.21127353931581</v>
      </c>
      <c r="P23" s="691">
        <f>SUM(P14:P21)</f>
        <v>542.06828798471554</v>
      </c>
    </row>
    <row r="24" spans="1:18" s="665" customFormat="1" ht="12.75">
      <c r="A24" s="642"/>
      <c r="B24" s="692" t="s">
        <v>296</v>
      </c>
      <c r="C24" s="692"/>
      <c r="D24" s="692"/>
      <c r="E24" s="693"/>
      <c r="I24" s="693"/>
      <c r="J24" s="693"/>
      <c r="K24" s="694"/>
      <c r="L24" s="695"/>
      <c r="M24" s="695">
        <f>M23/L23-1</f>
        <v>7.3576655358267073E-2</v>
      </c>
      <c r="N24" s="695">
        <f>N23/M23-1</f>
        <v>6.9800030590423612E-2</v>
      </c>
      <c r="O24" s="695">
        <f>O23/N23-1</f>
        <v>7.2435830633367893E-2</v>
      </c>
      <c r="P24" s="695">
        <f>P23/O23-1</f>
        <v>7.5081650157605706E-2</v>
      </c>
    </row>
    <row r="25" spans="1:18" s="665" customFormat="1" ht="12.75">
      <c r="A25" s="642"/>
      <c r="B25" s="692"/>
      <c r="C25" s="692"/>
      <c r="D25" s="692"/>
      <c r="E25" s="693"/>
      <c r="I25" s="693"/>
      <c r="J25" s="693"/>
      <c r="K25" s="694"/>
      <c r="L25" s="694"/>
      <c r="M25" s="694"/>
      <c r="N25" s="694"/>
      <c r="O25" s="694"/>
      <c r="P25" s="694"/>
    </row>
    <row r="26" spans="1:18" s="665" customFormat="1" ht="13.15" customHeight="1">
      <c r="A26" s="642"/>
      <c r="B26" s="696"/>
      <c r="C26" s="696"/>
      <c r="D26" s="696"/>
      <c r="E26" s="696"/>
      <c r="F26" s="696"/>
      <c r="G26" s="696"/>
      <c r="H26" s="696"/>
      <c r="I26" s="696"/>
      <c r="J26" s="696"/>
      <c r="K26" s="696"/>
      <c r="L26" s="697"/>
      <c r="R26" s="697"/>
    </row>
    <row r="27" spans="1:18" s="701" customFormat="1" ht="13.15" customHeight="1">
      <c r="A27" s="642"/>
      <c r="B27" s="665"/>
      <c r="C27" s="665"/>
      <c r="D27" s="665"/>
      <c r="E27" s="665"/>
      <c r="F27" s="698" t="s">
        <v>297</v>
      </c>
      <c r="G27" s="699"/>
      <c r="H27" s="699"/>
      <c r="I27" s="699"/>
      <c r="J27" s="700"/>
      <c r="K27" s="696"/>
      <c r="L27" s="698" t="s">
        <v>298</v>
      </c>
      <c r="M27" s="699"/>
      <c r="N27" s="699"/>
      <c r="O27" s="699"/>
      <c r="P27" s="700"/>
    </row>
    <row r="28" spans="1:18" s="665" customFormat="1" ht="13.15" customHeight="1">
      <c r="A28" s="642"/>
      <c r="F28" s="702"/>
      <c r="G28" s="674"/>
      <c r="H28" s="674"/>
      <c r="I28" s="674"/>
      <c r="J28" s="703"/>
      <c r="K28" s="696"/>
      <c r="L28" s="702"/>
      <c r="M28" s="674"/>
      <c r="N28" s="674"/>
      <c r="O28" s="674"/>
      <c r="P28" s="703"/>
    </row>
    <row r="29" spans="1:18" s="665" customFormat="1" ht="13.15" customHeight="1">
      <c r="A29" s="642"/>
      <c r="F29" s="704" t="s">
        <v>299</v>
      </c>
      <c r="G29" s="661"/>
      <c r="H29" s="661"/>
      <c r="I29" s="661"/>
      <c r="J29" s="705">
        <v>7.0000000000000007E-2</v>
      </c>
      <c r="K29" s="696"/>
      <c r="L29" s="704" t="s">
        <v>299</v>
      </c>
      <c r="M29" s="661"/>
      <c r="N29" s="661"/>
      <c r="O29" s="661"/>
      <c r="P29" s="706">
        <f>J29</f>
        <v>7.0000000000000007E-2</v>
      </c>
    </row>
    <row r="30" spans="1:18" s="665" customFormat="1" ht="13.15" customHeight="1">
      <c r="A30" s="642"/>
      <c r="F30" s="707" t="s">
        <v>300</v>
      </c>
      <c r="G30" s="708"/>
      <c r="H30" s="709"/>
      <c r="I30" s="661"/>
      <c r="J30" s="710" t="s">
        <v>301</v>
      </c>
      <c r="K30" s="696"/>
      <c r="L30" s="707" t="s">
        <v>300</v>
      </c>
      <c r="M30" s="708"/>
      <c r="N30" s="709"/>
      <c r="O30" s="661"/>
      <c r="P30" s="710" t="s">
        <v>301</v>
      </c>
    </row>
    <row r="31" spans="1:18" s="665" customFormat="1" ht="13.15" customHeight="1">
      <c r="A31" s="642"/>
      <c r="F31" s="711"/>
      <c r="G31" s="661"/>
      <c r="H31" s="661"/>
      <c r="I31" s="661"/>
      <c r="J31" s="712"/>
      <c r="K31" s="696"/>
      <c r="L31" s="711"/>
      <c r="M31" s="661"/>
      <c r="N31" s="661"/>
      <c r="O31" s="661"/>
      <c r="P31" s="712"/>
    </row>
    <row r="32" spans="1:18" s="665" customFormat="1" ht="13.15" customHeight="1">
      <c r="A32" s="642"/>
      <c r="F32" s="713" t="str">
        <f>"Growth rate of FCF after "&amp;P5</f>
        <v>Growth rate of FCF after 2018</v>
      </c>
      <c r="G32" s="708"/>
      <c r="H32" s="709"/>
      <c r="I32" s="661"/>
      <c r="J32" s="714">
        <v>0.02</v>
      </c>
      <c r="K32" s="696"/>
      <c r="L32" s="713" t="s">
        <v>302</v>
      </c>
      <c r="M32" s="708"/>
      <c r="N32" s="709"/>
      <c r="O32" s="661"/>
      <c r="P32" s="715">
        <v>12</v>
      </c>
    </row>
    <row r="33" spans="1:18" s="665" customFormat="1" ht="13.15" customHeight="1">
      <c r="A33" s="642"/>
      <c r="F33" s="716" t="s">
        <v>303</v>
      </c>
      <c r="G33" s="661"/>
      <c r="H33" s="661"/>
      <c r="I33" s="661"/>
      <c r="J33" s="717" t="s">
        <v>301</v>
      </c>
      <c r="K33" s="696"/>
      <c r="L33" s="716" t="s">
        <v>303</v>
      </c>
      <c r="M33" s="661"/>
      <c r="N33" s="661"/>
      <c r="O33" s="661"/>
      <c r="P33" s="717" t="s">
        <v>301</v>
      </c>
    </row>
    <row r="34" spans="1:18" s="665" customFormat="1" ht="13.15" customHeight="1">
      <c r="A34" s="642"/>
      <c r="F34" s="707" t="s">
        <v>304</v>
      </c>
      <c r="G34" s="708"/>
      <c r="H34" s="709"/>
      <c r="I34" s="661"/>
      <c r="J34" s="718" t="s">
        <v>301</v>
      </c>
      <c r="K34" s="696"/>
      <c r="L34" s="707" t="s">
        <v>304</v>
      </c>
      <c r="M34" s="708"/>
      <c r="N34" s="709"/>
      <c r="O34" s="661"/>
      <c r="P34" s="718" t="s">
        <v>301</v>
      </c>
    </row>
    <row r="35" spans="1:18" s="665" customFormat="1" ht="13.15" customHeight="1">
      <c r="A35" s="642"/>
      <c r="F35" s="711"/>
      <c r="G35" s="661"/>
      <c r="H35" s="661"/>
      <c r="I35" s="661"/>
      <c r="J35" s="712"/>
      <c r="K35" s="696"/>
      <c r="L35" s="711"/>
      <c r="M35" s="661"/>
      <c r="N35" s="661"/>
      <c r="O35" s="661"/>
      <c r="P35" s="712"/>
    </row>
    <row r="36" spans="1:18" s="665" customFormat="1" ht="13.15" customHeight="1">
      <c r="A36" s="642"/>
      <c r="F36" s="713" t="s">
        <v>305</v>
      </c>
      <c r="G36" s="719"/>
      <c r="H36" s="720"/>
      <c r="I36" s="664"/>
      <c r="J36" s="721" t="s">
        <v>301</v>
      </c>
      <c r="K36" s="696"/>
      <c r="L36" s="713" t="s">
        <v>305</v>
      </c>
      <c r="M36" s="719"/>
      <c r="N36" s="720"/>
      <c r="O36" s="664"/>
      <c r="P36" s="721" t="s">
        <v>301</v>
      </c>
    </row>
    <row r="37" spans="1:18" s="665" customFormat="1" ht="13.15" customHeight="1">
      <c r="A37" s="642"/>
      <c r="F37" s="722" t="s">
        <v>306</v>
      </c>
      <c r="G37" s="661"/>
      <c r="H37" s="661"/>
      <c r="I37" s="661"/>
      <c r="J37" s="723">
        <f>-(352.2+1.2+1014.3+17.5)+160.6+93.8</f>
        <v>-1130.8</v>
      </c>
      <c r="K37" s="696"/>
      <c r="L37" s="722" t="str">
        <f>F37</f>
        <v xml:space="preserve"> LESS: Net Debt (d) (e)</v>
      </c>
      <c r="M37" s="661"/>
      <c r="N37" s="661"/>
      <c r="O37" s="661"/>
      <c r="P37" s="724">
        <f>J37</f>
        <v>-1130.8</v>
      </c>
    </row>
    <row r="38" spans="1:18" s="665" customFormat="1" ht="13.15" customHeight="1">
      <c r="A38" s="642"/>
      <c r="F38" s="725" t="s">
        <v>307</v>
      </c>
      <c r="G38" s="726"/>
      <c r="H38" s="727"/>
      <c r="I38" s="728"/>
      <c r="J38" s="729" t="s">
        <v>301</v>
      </c>
      <c r="K38" s="696"/>
      <c r="L38" s="725" t="s">
        <v>307</v>
      </c>
      <c r="M38" s="726"/>
      <c r="N38" s="727"/>
      <c r="O38" s="728"/>
      <c r="P38" s="729" t="s">
        <v>301</v>
      </c>
    </row>
    <row r="39" spans="1:18" s="665" customFormat="1" ht="13.15" customHeight="1">
      <c r="A39" s="642"/>
      <c r="B39" s="696"/>
      <c r="C39" s="696"/>
      <c r="F39" s="696"/>
      <c r="G39" s="696"/>
      <c r="H39" s="696"/>
      <c r="I39" s="696"/>
      <c r="J39" s="730"/>
      <c r="K39" s="696"/>
      <c r="P39" s="731"/>
      <c r="Q39" s="661"/>
      <c r="R39" s="661"/>
    </row>
    <row r="40" spans="1:18" s="665" customFormat="1" ht="13.15" customHeight="1">
      <c r="A40" s="642" t="s">
        <v>43</v>
      </c>
      <c r="B40" s="696"/>
      <c r="C40" s="696"/>
      <c r="F40" s="696"/>
      <c r="G40" s="696"/>
      <c r="H40" s="696"/>
      <c r="I40" s="732" t="s">
        <v>308</v>
      </c>
      <c r="J40" s="733">
        <v>130.70062397317437</v>
      </c>
      <c r="K40" s="696"/>
      <c r="M40" s="696"/>
      <c r="N40" s="696"/>
      <c r="O40" s="732" t="s">
        <v>308</v>
      </c>
      <c r="P40" s="734">
        <f>J40</f>
        <v>130.70062397317437</v>
      </c>
      <c r="Q40" s="696"/>
      <c r="R40" s="696"/>
    </row>
    <row r="41" spans="1:18" s="665" customFormat="1" ht="13.15" customHeight="1">
      <c r="A41" s="642"/>
      <c r="B41" s="696"/>
      <c r="C41" s="696"/>
      <c r="F41" s="696"/>
      <c r="G41" s="696"/>
      <c r="H41" s="696"/>
      <c r="I41" s="696"/>
      <c r="J41" s="730"/>
      <c r="K41" s="696"/>
      <c r="L41" s="696"/>
      <c r="M41" s="696"/>
      <c r="N41" s="696"/>
      <c r="O41" s="696"/>
      <c r="P41" s="730"/>
      <c r="Q41" s="696"/>
      <c r="R41" s="696"/>
    </row>
    <row r="42" spans="1:18" s="665" customFormat="1" ht="13.15" customHeight="1">
      <c r="A42" s="642"/>
      <c r="B42" s="696"/>
      <c r="C42" s="696"/>
      <c r="F42" s="696"/>
      <c r="G42" s="735"/>
      <c r="H42" s="736"/>
      <c r="I42" s="737" t="s">
        <v>309</v>
      </c>
      <c r="J42" s="738" t="s">
        <v>301</v>
      </c>
      <c r="K42" s="696"/>
      <c r="L42" s="696"/>
      <c r="M42" s="735"/>
      <c r="N42" s="736"/>
      <c r="O42" s="737" t="s">
        <v>310</v>
      </c>
      <c r="P42" s="738" t="s">
        <v>301</v>
      </c>
      <c r="Q42" s="696"/>
      <c r="R42" s="696"/>
    </row>
    <row r="43" spans="1:18" s="665" customFormat="1" ht="13.15" customHeight="1">
      <c r="A43" s="642"/>
      <c r="B43" s="696"/>
      <c r="C43" s="696"/>
      <c r="F43" s="696"/>
      <c r="G43" s="696"/>
      <c r="H43" s="696"/>
      <c r="I43" s="696"/>
      <c r="J43" s="696"/>
      <c r="K43" s="696"/>
      <c r="L43" s="696"/>
      <c r="M43" s="696"/>
      <c r="N43" s="697"/>
    </row>
    <row r="44" spans="1:18" s="665" customFormat="1" ht="13.15" hidden="1" customHeight="1" outlineLevel="1">
      <c r="A44" s="642"/>
      <c r="B44" s="696"/>
      <c r="C44" s="696"/>
      <c r="F44" s="739" t="s">
        <v>311</v>
      </c>
      <c r="G44" s="740"/>
      <c r="H44" s="740"/>
      <c r="I44" s="740"/>
      <c r="J44" s="741"/>
      <c r="K44" s="696"/>
      <c r="L44" s="739" t="s">
        <v>312</v>
      </c>
      <c r="M44" s="740"/>
      <c r="N44" s="740"/>
      <c r="O44" s="740"/>
      <c r="P44" s="741"/>
    </row>
    <row r="45" spans="1:18" s="665" customFormat="1" ht="13.15" hidden="1" customHeight="1" outlineLevel="1">
      <c r="A45" s="642"/>
      <c r="B45" s="696"/>
      <c r="C45" s="696"/>
      <c r="F45" s="742" t="s">
        <v>313</v>
      </c>
      <c r="G45" s="743"/>
      <c r="H45" s="674"/>
      <c r="I45" s="674"/>
      <c r="J45" s="744">
        <f>P23</f>
        <v>542.06828798471554</v>
      </c>
      <c r="K45" s="696"/>
      <c r="L45" s="742" t="s">
        <v>314</v>
      </c>
      <c r="M45" s="743"/>
      <c r="N45" s="674"/>
      <c r="O45" s="674"/>
      <c r="P45" s="744">
        <f>P9</f>
        <v>944.81573318333949</v>
      </c>
    </row>
    <row r="46" spans="1:18" s="665" customFormat="1" ht="13.15" hidden="1" customHeight="1" outlineLevel="1">
      <c r="A46" s="642"/>
      <c r="B46" s="696"/>
      <c r="C46" s="696"/>
      <c r="F46" s="722" t="s">
        <v>315</v>
      </c>
      <c r="G46" s="709"/>
      <c r="H46" s="661"/>
      <c r="I46" s="661"/>
      <c r="J46" s="745">
        <f>J29</f>
        <v>7.0000000000000007E-2</v>
      </c>
      <c r="K46" s="696"/>
      <c r="L46" s="722" t="s">
        <v>315</v>
      </c>
      <c r="M46" s="709"/>
      <c r="N46" s="661"/>
      <c r="O46" s="661"/>
      <c r="P46" s="745">
        <f>P29</f>
        <v>7.0000000000000007E-2</v>
      </c>
    </row>
    <row r="47" spans="1:18" s="665" customFormat="1" ht="13.15" hidden="1" customHeight="1" outlineLevel="1">
      <c r="A47" s="642"/>
      <c r="B47" s="696"/>
      <c r="C47" s="696"/>
      <c r="F47" s="722" t="str">
        <f>"Growth rate of free cash flow after "&amp;P5</f>
        <v>Growth rate of free cash flow after 2018</v>
      </c>
      <c r="G47" s="709"/>
      <c r="H47" s="661"/>
      <c r="I47" s="661"/>
      <c r="J47" s="745">
        <f>J32</f>
        <v>0.02</v>
      </c>
      <c r="L47" s="722" t="s">
        <v>316</v>
      </c>
      <c r="M47" s="709"/>
      <c r="N47" s="661"/>
      <c r="O47" s="661"/>
      <c r="P47" s="746">
        <f>P32</f>
        <v>12</v>
      </c>
    </row>
    <row r="48" spans="1:18" s="665" customFormat="1" ht="13.15" hidden="1" customHeight="1" outlineLevel="1">
      <c r="A48" s="642"/>
      <c r="B48" s="661"/>
      <c r="C48" s="661"/>
      <c r="F48" s="722" t="str">
        <f>P5&amp;" EBITDA"</f>
        <v>2018 EBITDA</v>
      </c>
      <c r="G48" s="709"/>
      <c r="H48" s="661"/>
      <c r="I48" s="661"/>
      <c r="J48" s="747">
        <f>P9</f>
        <v>944.81573318333949</v>
      </c>
      <c r="L48" s="722" t="s">
        <v>313</v>
      </c>
      <c r="M48" s="709"/>
      <c r="N48" s="661"/>
      <c r="O48" s="661"/>
      <c r="P48" s="747">
        <f>P23</f>
        <v>542.06828798471554</v>
      </c>
    </row>
    <row r="49" spans="1:17" s="665" customFormat="1" ht="13.15" hidden="1" customHeight="1" outlineLevel="1">
      <c r="A49" s="642"/>
      <c r="B49" s="661"/>
      <c r="C49" s="661"/>
      <c r="F49" s="748"/>
      <c r="G49" s="749"/>
      <c r="H49" s="749"/>
      <c r="I49" s="750" t="s">
        <v>317</v>
      </c>
      <c r="J49" s="751">
        <f>(J45*(1+J47))/((J46-J47)*J48)</f>
        <v>11.704073806677791</v>
      </c>
      <c r="L49" s="748"/>
      <c r="M49" s="749"/>
      <c r="N49" s="749"/>
      <c r="O49" s="750" t="s">
        <v>318</v>
      </c>
      <c r="P49" s="752">
        <f>((P45*P47*P46)-P48)/(P48+(P45*P47))</f>
        <v>2.1176763833451424E-2</v>
      </c>
    </row>
    <row r="50" spans="1:17" s="665" customFormat="1" ht="13.15" hidden="1" customHeight="1" outlineLevel="1">
      <c r="A50" s="642"/>
      <c r="B50" s="661"/>
      <c r="C50" s="661"/>
      <c r="F50" s="661"/>
      <c r="G50" s="661"/>
      <c r="H50" s="661"/>
      <c r="I50" s="661"/>
      <c r="J50" s="753" t="str">
        <f>"("&amp;TEXT(J45,"$#,#0.0")&amp;" x (1+"&amp;TEXT(J47,"0.0%")&amp;")) / ("&amp;TEXT(J48,"$#,#0.0")&amp; " x ("&amp;TEXT(J46,"0.0%")&amp;" - "&amp;TEXT(J47,"0.0%")&amp;")) = "&amp;TEXT(J49,"0.0x")</f>
        <v>($542.1 x (1+2.0%)) / ($944.8 x (7.0% - 2.0%)) = 11.7x</v>
      </c>
      <c r="O50" s="661"/>
      <c r="P50" s="753" t="str">
        <f>"("&amp;TEXT(P45,"$#,#0.0")&amp;" x "&amp;TEXT(P47,"0.0")&amp;" x "&amp;TEXT(P46,"0.0%")&amp;") - "&amp;TEXT(P48,"$#,#0.0")&amp;") / ("&amp;TEXT(P48,"$#,#0.0")&amp;" + ("&amp;TEXT(P45,"$#,#0.0")&amp;"  x "&amp;TEXT(P47,"0.0")&amp;")) = "&amp;TEXT(P49,"0.0%")</f>
        <v>($944.8 x 12.0 x 7.0%) - $542.1) / ($542.1 + ($944.8  x 12.0)) = 2.1%</v>
      </c>
      <c r="Q50" s="663"/>
    </row>
    <row r="51" spans="1:17" s="665" customFormat="1" ht="13.15" customHeight="1" collapsed="1">
      <c r="A51" s="642"/>
      <c r="B51" s="661"/>
      <c r="C51" s="661"/>
      <c r="F51" s="661"/>
      <c r="G51" s="661"/>
      <c r="H51" s="661"/>
      <c r="I51" s="754"/>
      <c r="J51" s="754"/>
      <c r="K51" s="755" t="s">
        <v>319</v>
      </c>
      <c r="L51" s="701"/>
      <c r="M51" s="701"/>
      <c r="O51" s="661"/>
      <c r="P51" s="661"/>
      <c r="Q51" s="663"/>
    </row>
    <row r="52" spans="1:17" s="665" customFormat="1" ht="13.15" customHeight="1">
      <c r="A52" s="642"/>
      <c r="B52" s="661"/>
      <c r="C52" s="661"/>
      <c r="F52" s="661"/>
      <c r="G52" s="661"/>
      <c r="H52" s="661"/>
      <c r="I52" s="754"/>
      <c r="J52" s="754"/>
      <c r="K52" s="755" t="s">
        <v>320</v>
      </c>
      <c r="L52" s="701"/>
      <c r="M52" s="701"/>
      <c r="N52" s="701"/>
      <c r="O52" s="661"/>
      <c r="P52" s="661"/>
      <c r="Q52" s="663"/>
    </row>
    <row r="53" spans="1:17" s="665" customFormat="1" ht="13.15" customHeight="1">
      <c r="A53" s="642"/>
      <c r="B53" s="661"/>
      <c r="C53" s="661"/>
      <c r="F53" s="661"/>
      <c r="G53" s="661"/>
      <c r="H53" s="661"/>
      <c r="I53" s="661"/>
      <c r="J53" s="661"/>
      <c r="K53" s="755"/>
      <c r="O53" s="661"/>
      <c r="P53" s="661"/>
      <c r="Q53" s="663"/>
    </row>
    <row r="54" spans="1:17" s="665" customFormat="1" ht="11.65" customHeight="1">
      <c r="A54" s="642"/>
      <c r="B54" s="756"/>
      <c r="C54" s="756"/>
      <c r="D54" s="756"/>
      <c r="E54" s="756"/>
      <c r="F54" s="756"/>
      <c r="G54" s="756"/>
      <c r="H54" s="756"/>
      <c r="I54" s="756"/>
      <c r="J54" s="661"/>
      <c r="K54" s="755"/>
    </row>
    <row r="55" spans="1:17" s="762" customFormat="1" ht="11.65" customHeight="1">
      <c r="A55" s="642" t="s">
        <v>43</v>
      </c>
      <c r="B55" s="757" t="s">
        <v>321</v>
      </c>
      <c r="C55" s="758" t="s">
        <v>322</v>
      </c>
      <c r="D55" s="759"/>
      <c r="E55" s="757"/>
      <c r="F55" s="760"/>
      <c r="G55" s="760"/>
      <c r="H55" s="757"/>
      <c r="I55" s="757"/>
      <c r="J55" s="761"/>
      <c r="K55" s="761"/>
      <c r="L55" s="761"/>
      <c r="M55" s="761"/>
      <c r="N55" s="761"/>
      <c r="O55" s="761"/>
      <c r="P55" s="761"/>
    </row>
    <row r="56" spans="1:17" s="762" customFormat="1" ht="11.65" customHeight="1">
      <c r="A56" s="642"/>
      <c r="B56" s="757" t="s">
        <v>323</v>
      </c>
      <c r="C56" s="763" t="str">
        <f>"Present values calculated as of "&amp;TEXT(F63,"m/d/yy")&amp;"."</f>
        <v>Present values calculated as of 11/30/13.</v>
      </c>
      <c r="D56" s="757"/>
      <c r="E56" s="757"/>
      <c r="F56" s="757"/>
      <c r="G56" s="757"/>
      <c r="H56" s="757"/>
      <c r="I56" s="757"/>
      <c r="J56" s="757"/>
      <c r="K56" s="757"/>
      <c r="L56" s="757"/>
      <c r="M56" s="757"/>
      <c r="N56" s="757"/>
      <c r="O56" s="757"/>
      <c r="P56" s="757"/>
    </row>
    <row r="57" spans="1:17" s="762" customFormat="1" ht="11.65" customHeight="1">
      <c r="A57" s="642"/>
      <c r="B57" s="757" t="s">
        <v>324</v>
      </c>
      <c r="C57" s="764" t="str">
        <f>"Discounted "&amp;TEXT(P5-K5,"#")&amp;" years; based on "&amp;TEXT(P5,"#")&amp; " unlevered free cash flow of "&amp;TEXT(P23,"$#,#0.0")&amp;" million."</f>
        <v>Discounted 5 years; based on 2018 unlevered free cash flow of $542.1 million.</v>
      </c>
      <c r="D57" s="757"/>
      <c r="E57" s="757"/>
      <c r="F57" s="757"/>
      <c r="G57" s="757"/>
      <c r="H57" s="757"/>
      <c r="I57" s="757"/>
      <c r="J57" s="757"/>
      <c r="K57" s="757"/>
      <c r="L57" s="757"/>
      <c r="M57" s="757"/>
      <c r="N57" s="757"/>
      <c r="O57" s="757"/>
      <c r="P57" s="757"/>
    </row>
    <row r="58" spans="1:17" s="762" customFormat="1" ht="11.65" customHeight="1">
      <c r="A58" s="642"/>
      <c r="B58" s="757" t="s">
        <v>325</v>
      </c>
      <c r="C58" s="763" t="str">
        <f>"Balances as of "&amp;TEXT(F63,"m/d/yy")&amp;" as a training simplification.  Theoretically, the balances should be as of the PV date.  Many practitioners use the latest available balances as an estimate."</f>
        <v>Balances as of 11/30/13 as a training simplification.  Theoretically, the balances should be as of the PV date.  Many practitioners use the latest available balances as an estimate.</v>
      </c>
      <c r="D58" s="757"/>
      <c r="E58" s="757"/>
      <c r="F58" s="757"/>
      <c r="G58" s="757"/>
      <c r="H58" s="757"/>
      <c r="I58" s="757"/>
      <c r="J58" s="757"/>
      <c r="K58" s="757"/>
      <c r="L58" s="757"/>
      <c r="M58" s="757"/>
      <c r="N58" s="757"/>
      <c r="O58" s="757"/>
      <c r="P58" s="757"/>
    </row>
    <row r="59" spans="1:17" s="762" customFormat="1" ht="11.65" customHeight="1">
      <c r="A59" s="642"/>
      <c r="B59" s="757" t="s">
        <v>326</v>
      </c>
      <c r="C59" s="765" t="s">
        <v>327</v>
      </c>
      <c r="D59" s="757"/>
      <c r="E59" s="757"/>
      <c r="F59" s="757"/>
      <c r="G59" s="757"/>
      <c r="H59" s="757"/>
      <c r="I59" s="757"/>
      <c r="J59" s="757"/>
      <c r="K59" s="757"/>
      <c r="L59" s="757"/>
      <c r="M59" s="757"/>
      <c r="N59" s="757"/>
      <c r="O59" s="757"/>
      <c r="P59" s="757"/>
    </row>
    <row r="60" spans="1:17" s="762" customFormat="1" ht="11.65" customHeight="1">
      <c r="A60" s="642"/>
      <c r="B60" s="757" t="s">
        <v>328</v>
      </c>
      <c r="C60" s="764" t="str">
        <f>"Based on "&amp;TEXT(J40,"#,##0.000")&amp;" million diluted shares outstanding as of "&amp;TEXT(F64,"m/d/y")&amp;".  Theoretically, the shares should be as of the PV date to match the timing of the balance sheet items."</f>
        <v>Based on 130.701 million diluted shares outstanding as of 10/17/14.  Theoretically, the shares should be as of the PV date to match the timing of the balance sheet items.</v>
      </c>
      <c r="D60" s="757"/>
      <c r="E60" s="757"/>
      <c r="F60" s="757"/>
      <c r="G60" s="757"/>
      <c r="H60" s="757"/>
      <c r="I60" s="757"/>
      <c r="J60" s="757"/>
      <c r="K60" s="757"/>
      <c r="L60" s="757"/>
      <c r="M60" s="757"/>
      <c r="N60" s="757"/>
      <c r="O60" s="757"/>
      <c r="P60" s="757"/>
    </row>
    <row r="61" spans="1:17" s="762" customFormat="1" ht="11.25">
      <c r="A61" s="642"/>
      <c r="B61" s="757"/>
      <c r="C61" s="757" t="s">
        <v>329</v>
      </c>
      <c r="D61" s="757"/>
      <c r="E61" s="757"/>
      <c r="F61" s="757"/>
      <c r="G61" s="757"/>
      <c r="H61" s="757"/>
      <c r="I61" s="757"/>
      <c r="J61" s="757"/>
      <c r="K61" s="757"/>
      <c r="L61" s="757"/>
      <c r="M61" s="757"/>
      <c r="N61" s="757"/>
      <c r="O61" s="757"/>
      <c r="P61" s="757"/>
    </row>
    <row r="62" spans="1:17" s="762" customFormat="1" ht="11.25">
      <c r="A62" s="642"/>
    </row>
    <row r="63" spans="1:17" s="762" customFormat="1" ht="11.25">
      <c r="A63" s="642"/>
      <c r="E63" s="766" t="s">
        <v>330</v>
      </c>
      <c r="F63" s="767">
        <v>41608</v>
      </c>
      <c r="G63" s="768"/>
    </row>
    <row r="64" spans="1:17" s="762" customFormat="1" ht="11.25">
      <c r="A64" s="642"/>
      <c r="E64" s="766" t="s">
        <v>331</v>
      </c>
      <c r="F64" s="767">
        <v>41929</v>
      </c>
      <c r="G64" s="768"/>
    </row>
    <row r="65" spans="1:18" s="762" customFormat="1" ht="13.15" customHeight="1">
      <c r="A65" s="642"/>
      <c r="H65" s="766"/>
    </row>
    <row r="66" spans="1:18" s="762" customFormat="1" ht="18">
      <c r="A66" s="642" t="s">
        <v>43</v>
      </c>
      <c r="B66" s="653" t="s">
        <v>332</v>
      </c>
      <c r="G66" s="651"/>
      <c r="H66" s="651"/>
      <c r="I66" s="651"/>
      <c r="J66" s="651"/>
      <c r="K66" s="651"/>
      <c r="L66" s="651"/>
      <c r="M66" s="651"/>
      <c r="N66" s="651"/>
      <c r="O66" s="651"/>
      <c r="P66" s="651"/>
      <c r="Q66" s="651"/>
      <c r="R66" s="651"/>
    </row>
    <row r="67" spans="1:18" s="762" customFormat="1" ht="13.15" customHeight="1">
      <c r="A67" s="642"/>
    </row>
    <row r="68" spans="1:18" s="762" customFormat="1" ht="13.15" customHeight="1">
      <c r="A68" s="642"/>
    </row>
    <row r="69" spans="1:18" s="762" customFormat="1" ht="12.75">
      <c r="A69" s="642" t="s">
        <v>43</v>
      </c>
      <c r="E69" s="769" t="s">
        <v>333</v>
      </c>
    </row>
    <row r="70" spans="1:18" s="762" customFormat="1" ht="13.15" customHeight="1">
      <c r="A70" s="642"/>
      <c r="E70" s="770"/>
    </row>
    <row r="71" spans="1:18" s="772" customFormat="1" ht="13.15" customHeight="1">
      <c r="A71" s="642"/>
      <c r="B71" s="665"/>
      <c r="C71" s="665"/>
      <c r="D71" s="665"/>
      <c r="E71" s="665"/>
      <c r="F71" s="665"/>
      <c r="G71" s="665"/>
      <c r="H71" s="771" t="s">
        <v>315</v>
      </c>
      <c r="I71" s="771"/>
      <c r="J71" s="771"/>
      <c r="K71" s="771"/>
      <c r="L71" s="771"/>
      <c r="M71" s="771"/>
      <c r="N71" s="771"/>
      <c r="O71" s="771"/>
      <c r="P71" s="771"/>
      <c r="Q71" s="754"/>
      <c r="R71" s="754"/>
    </row>
    <row r="72" spans="1:18" s="762" customFormat="1" ht="13.15" customHeight="1">
      <c r="A72" s="642" t="s">
        <v>43</v>
      </c>
      <c r="B72" s="665"/>
      <c r="C72" s="665"/>
      <c r="D72" s="665"/>
      <c r="E72" s="665"/>
      <c r="F72" s="665"/>
      <c r="G72" s="773" t="s">
        <v>334</v>
      </c>
      <c r="H72" s="774">
        <v>0.06</v>
      </c>
      <c r="I72" s="775">
        <f t="shared" ref="I72:P72" si="4">H72+$R$72</f>
        <v>6.25E-2</v>
      </c>
      <c r="J72" s="775">
        <f t="shared" si="4"/>
        <v>6.5000000000000002E-2</v>
      </c>
      <c r="K72" s="775">
        <f t="shared" si="4"/>
        <v>6.7500000000000004E-2</v>
      </c>
      <c r="L72" s="775">
        <f t="shared" si="4"/>
        <v>7.0000000000000007E-2</v>
      </c>
      <c r="M72" s="775">
        <f t="shared" si="4"/>
        <v>7.2500000000000009E-2</v>
      </c>
      <c r="N72" s="775">
        <f t="shared" si="4"/>
        <v>7.5000000000000011E-2</v>
      </c>
      <c r="O72" s="775">
        <f t="shared" si="4"/>
        <v>7.7500000000000013E-2</v>
      </c>
      <c r="P72" s="775">
        <f t="shared" si="4"/>
        <v>8.0000000000000016E-2</v>
      </c>
      <c r="Q72" s="665"/>
      <c r="R72" s="774">
        <v>2.5000000000000001E-3</v>
      </c>
    </row>
    <row r="73" spans="1:18" s="762" customFormat="1" ht="13.15" customHeight="1">
      <c r="A73" s="642"/>
      <c r="B73" s="665"/>
      <c r="C73" s="665"/>
      <c r="D73" s="665"/>
      <c r="E73" s="776"/>
      <c r="F73" s="776"/>
      <c r="G73" s="774">
        <v>0.01</v>
      </c>
      <c r="H73" s="777"/>
      <c r="I73" s="778"/>
      <c r="J73" s="778"/>
      <c r="K73" s="778"/>
      <c r="L73" s="778"/>
      <c r="M73" s="778"/>
      <c r="N73" s="778"/>
      <c r="O73" s="778"/>
      <c r="P73" s="779"/>
      <c r="Q73" s="665"/>
      <c r="R73" s="665"/>
    </row>
    <row r="74" spans="1:18" s="762" customFormat="1" ht="13.15" customHeight="1">
      <c r="A74" s="642"/>
      <c r="B74" s="665"/>
      <c r="C74" s="665"/>
      <c r="D74" s="665"/>
      <c r="E74" s="776"/>
      <c r="F74" s="776"/>
      <c r="G74" s="775">
        <f t="shared" ref="G74:G86" si="5">G73+$G$88</f>
        <v>1.2500000000000001E-2</v>
      </c>
      <c r="H74" s="780"/>
      <c r="I74" s="781"/>
      <c r="J74" s="781"/>
      <c r="K74" s="781"/>
      <c r="L74" s="781"/>
      <c r="M74" s="781"/>
      <c r="N74" s="781"/>
      <c r="O74" s="781"/>
      <c r="P74" s="782"/>
      <c r="Q74" s="665"/>
      <c r="R74" s="665"/>
    </row>
    <row r="75" spans="1:18" s="762" customFormat="1" ht="13.15" customHeight="1">
      <c r="A75" s="642"/>
      <c r="B75" s="665"/>
      <c r="C75" s="665"/>
      <c r="D75" s="665"/>
      <c r="E75" s="776"/>
      <c r="F75" s="776"/>
      <c r="G75" s="775">
        <f t="shared" si="5"/>
        <v>1.5000000000000001E-2</v>
      </c>
      <c r="H75" s="780"/>
      <c r="I75" s="781"/>
      <c r="J75" s="781"/>
      <c r="K75" s="781"/>
      <c r="L75" s="781"/>
      <c r="M75" s="781"/>
      <c r="N75" s="781"/>
      <c r="O75" s="781"/>
      <c r="P75" s="782"/>
      <c r="Q75" s="665"/>
      <c r="R75" s="665"/>
    </row>
    <row r="76" spans="1:18" s="762" customFormat="1" ht="13.15" customHeight="1">
      <c r="A76" s="642"/>
      <c r="B76" s="665"/>
      <c r="C76" s="665"/>
      <c r="D76" s="665"/>
      <c r="E76" s="776"/>
      <c r="F76" s="776"/>
      <c r="G76" s="775">
        <f t="shared" si="5"/>
        <v>1.7500000000000002E-2</v>
      </c>
      <c r="H76" s="780"/>
      <c r="I76" s="781"/>
      <c r="J76" s="781"/>
      <c r="K76" s="781"/>
      <c r="L76" s="781"/>
      <c r="M76" s="781"/>
      <c r="N76" s="781"/>
      <c r="O76" s="781"/>
      <c r="P76" s="782"/>
      <c r="Q76" s="665"/>
      <c r="R76" s="665"/>
    </row>
    <row r="77" spans="1:18" s="762" customFormat="1" ht="13.15" customHeight="1">
      <c r="A77" s="642"/>
      <c r="B77" s="665"/>
      <c r="C77" s="665"/>
      <c r="D77" s="665"/>
      <c r="E77" s="776"/>
      <c r="F77" s="776"/>
      <c r="G77" s="775">
        <f t="shared" si="5"/>
        <v>0.02</v>
      </c>
      <c r="H77" s="780"/>
      <c r="I77" s="781"/>
      <c r="J77" s="781"/>
      <c r="K77" s="781"/>
      <c r="L77" s="781"/>
      <c r="M77" s="781"/>
      <c r="N77" s="781"/>
      <c r="O77" s="781"/>
      <c r="P77" s="782"/>
      <c r="Q77" s="665"/>
      <c r="R77" s="665"/>
    </row>
    <row r="78" spans="1:18" s="762" customFormat="1" ht="13.15" customHeight="1">
      <c r="A78" s="642"/>
      <c r="B78" s="665"/>
      <c r="C78" s="665"/>
      <c r="D78" s="665"/>
      <c r="E78" s="771" t="s">
        <v>335</v>
      </c>
      <c r="F78" s="771"/>
      <c r="G78" s="775">
        <f t="shared" si="5"/>
        <v>2.2499999999999999E-2</v>
      </c>
      <c r="H78" s="780"/>
      <c r="I78" s="781"/>
      <c r="J78" s="781"/>
      <c r="K78" s="781"/>
      <c r="L78" s="781"/>
      <c r="M78" s="781"/>
      <c r="N78" s="781"/>
      <c r="O78" s="781"/>
      <c r="P78" s="782"/>
      <c r="Q78" s="665"/>
      <c r="R78" s="665"/>
    </row>
    <row r="79" spans="1:18" s="762" customFormat="1" ht="13.15" customHeight="1">
      <c r="A79" s="642"/>
      <c r="B79" s="665"/>
      <c r="C79" s="665"/>
      <c r="D79" s="665"/>
      <c r="E79" s="771" t="s">
        <v>336</v>
      </c>
      <c r="F79" s="771"/>
      <c r="G79" s="775">
        <f t="shared" si="5"/>
        <v>2.4999999999999998E-2</v>
      </c>
      <c r="H79" s="780"/>
      <c r="I79" s="781"/>
      <c r="J79" s="781"/>
      <c r="K79" s="781"/>
      <c r="L79" s="781"/>
      <c r="M79" s="781"/>
      <c r="N79" s="781"/>
      <c r="O79" s="781"/>
      <c r="P79" s="782"/>
      <c r="Q79" s="665"/>
      <c r="R79" s="665"/>
    </row>
    <row r="80" spans="1:18" s="762" customFormat="1" ht="13.15" customHeight="1">
      <c r="A80" s="642"/>
      <c r="B80" s="665"/>
      <c r="C80" s="665"/>
      <c r="D80" s="665"/>
      <c r="E80" s="771" t="s">
        <v>337</v>
      </c>
      <c r="F80" s="771"/>
      <c r="G80" s="775">
        <f t="shared" si="5"/>
        <v>2.7499999999999997E-2</v>
      </c>
      <c r="H80" s="780"/>
      <c r="I80" s="781"/>
      <c r="J80" s="781"/>
      <c r="K80" s="781"/>
      <c r="L80" s="781"/>
      <c r="M80" s="781"/>
      <c r="N80" s="781"/>
      <c r="O80" s="781"/>
      <c r="P80" s="782"/>
      <c r="Q80" s="665"/>
      <c r="R80" s="665"/>
    </row>
    <row r="81" spans="1:18" s="762" customFormat="1" ht="13.15" customHeight="1">
      <c r="A81" s="642"/>
      <c r="B81" s="665"/>
      <c r="C81" s="665"/>
      <c r="D81" s="665"/>
      <c r="E81" s="776"/>
      <c r="F81" s="776"/>
      <c r="G81" s="775">
        <f t="shared" si="5"/>
        <v>2.9999999999999995E-2</v>
      </c>
      <c r="H81" s="780"/>
      <c r="I81" s="781"/>
      <c r="J81" s="781"/>
      <c r="K81" s="781"/>
      <c r="L81" s="781"/>
      <c r="M81" s="781"/>
      <c r="N81" s="781"/>
      <c r="O81" s="781"/>
      <c r="P81" s="782"/>
      <c r="Q81" s="665"/>
      <c r="R81" s="665"/>
    </row>
    <row r="82" spans="1:18" s="762" customFormat="1" ht="13.15" customHeight="1">
      <c r="A82" s="642"/>
      <c r="B82" s="665"/>
      <c r="C82" s="665"/>
      <c r="D82" s="665"/>
      <c r="E82" s="776"/>
      <c r="F82" s="776"/>
      <c r="G82" s="775">
        <f t="shared" si="5"/>
        <v>3.2499999999999994E-2</v>
      </c>
      <c r="H82" s="780"/>
      <c r="I82" s="781"/>
      <c r="J82" s="781"/>
      <c r="K82" s="781"/>
      <c r="L82" s="781"/>
      <c r="M82" s="781"/>
      <c r="N82" s="781"/>
      <c r="O82" s="781"/>
      <c r="P82" s="782"/>
      <c r="Q82" s="665"/>
      <c r="R82" s="665"/>
    </row>
    <row r="83" spans="1:18" s="762" customFormat="1" ht="13.15" customHeight="1">
      <c r="A83" s="642"/>
      <c r="B83" s="665"/>
      <c r="C83" s="665"/>
      <c r="D83" s="665"/>
      <c r="E83" s="776"/>
      <c r="F83" s="776"/>
      <c r="G83" s="775">
        <f t="shared" si="5"/>
        <v>3.4999999999999996E-2</v>
      </c>
      <c r="H83" s="780"/>
      <c r="I83" s="781"/>
      <c r="J83" s="781"/>
      <c r="K83" s="781"/>
      <c r="L83" s="781"/>
      <c r="M83" s="781"/>
      <c r="N83" s="781"/>
      <c r="O83" s="781"/>
      <c r="P83" s="782"/>
      <c r="Q83" s="665"/>
      <c r="R83" s="665"/>
    </row>
    <row r="84" spans="1:18" s="762" customFormat="1" ht="13.15" customHeight="1">
      <c r="A84" s="642"/>
      <c r="B84" s="665"/>
      <c r="C84" s="665"/>
      <c r="D84" s="665"/>
      <c r="E84" s="776"/>
      <c r="F84" s="776"/>
      <c r="G84" s="775">
        <f t="shared" si="5"/>
        <v>3.7499999999999999E-2</v>
      </c>
      <c r="H84" s="780"/>
      <c r="I84" s="781"/>
      <c r="J84" s="781"/>
      <c r="K84" s="781"/>
      <c r="L84" s="781"/>
      <c r="M84" s="781"/>
      <c r="N84" s="781"/>
      <c r="O84" s="781"/>
      <c r="P84" s="782"/>
      <c r="Q84" s="665"/>
      <c r="R84" s="665"/>
    </row>
    <row r="85" spans="1:18" s="762" customFormat="1" ht="13.15" customHeight="1">
      <c r="A85" s="642"/>
      <c r="B85" s="665"/>
      <c r="C85" s="665"/>
      <c r="D85" s="665"/>
      <c r="E85" s="776"/>
      <c r="F85" s="776"/>
      <c r="G85" s="775">
        <f t="shared" si="5"/>
        <v>0.04</v>
      </c>
      <c r="H85" s="780"/>
      <c r="I85" s="781"/>
      <c r="J85" s="781"/>
      <c r="K85" s="781"/>
      <c r="L85" s="781"/>
      <c r="M85" s="781"/>
      <c r="N85" s="781"/>
      <c r="O85" s="781"/>
      <c r="P85" s="782"/>
      <c r="Q85" s="665"/>
      <c r="R85" s="665"/>
    </row>
    <row r="86" spans="1:18" s="762" customFormat="1" ht="13.15" customHeight="1">
      <c r="A86" s="642"/>
      <c r="B86" s="665"/>
      <c r="C86" s="665"/>
      <c r="D86" s="665"/>
      <c r="E86" s="776"/>
      <c r="F86" s="776"/>
      <c r="G86" s="775">
        <f t="shared" si="5"/>
        <v>4.2500000000000003E-2</v>
      </c>
      <c r="H86" s="783"/>
      <c r="I86" s="784"/>
      <c r="J86" s="784"/>
      <c r="K86" s="784"/>
      <c r="L86" s="784"/>
      <c r="M86" s="784"/>
      <c r="N86" s="784"/>
      <c r="O86" s="784"/>
      <c r="P86" s="785"/>
      <c r="Q86" s="665"/>
      <c r="R86" s="665"/>
    </row>
    <row r="87" spans="1:18" s="762" customFormat="1" ht="13.15" customHeight="1">
      <c r="A87" s="642"/>
      <c r="B87" s="665"/>
      <c r="C87" s="665"/>
      <c r="D87" s="665"/>
      <c r="E87" s="665"/>
      <c r="F87" s="665"/>
      <c r="G87" s="665"/>
      <c r="H87" s="665"/>
      <c r="I87" s="665"/>
      <c r="J87" s="665"/>
      <c r="K87" s="665"/>
      <c r="L87" s="665"/>
      <c r="M87" s="665"/>
      <c r="N87" s="665"/>
      <c r="O87" s="665"/>
      <c r="P87" s="665"/>
      <c r="Q87" s="665"/>
      <c r="R87" s="665"/>
    </row>
    <row r="88" spans="1:18" s="762" customFormat="1" ht="13.15" customHeight="1">
      <c r="A88" s="642"/>
      <c r="B88" s="665"/>
      <c r="C88" s="665"/>
      <c r="D88" s="665"/>
      <c r="E88" s="665"/>
      <c r="F88" s="665"/>
      <c r="G88" s="774">
        <v>2.5000000000000001E-3</v>
      </c>
      <c r="H88" s="665"/>
      <c r="I88" s="665"/>
      <c r="J88" s="665"/>
      <c r="K88" s="665"/>
      <c r="L88" s="665"/>
      <c r="M88" s="665"/>
      <c r="N88" s="665"/>
      <c r="O88" s="665"/>
      <c r="P88" s="665"/>
      <c r="Q88" s="665"/>
      <c r="R88" s="665"/>
    </row>
    <row r="89" spans="1:18" s="762" customFormat="1" ht="13.15" customHeight="1">
      <c r="A89" s="642"/>
      <c r="B89" s="665"/>
      <c r="C89" s="665"/>
      <c r="D89" s="665"/>
      <c r="E89" s="665"/>
      <c r="F89" s="665"/>
      <c r="G89" s="665"/>
      <c r="H89" s="665"/>
      <c r="I89" s="665"/>
      <c r="J89" s="665"/>
      <c r="K89" s="665"/>
      <c r="L89" s="665"/>
      <c r="M89" s="665"/>
      <c r="N89" s="665"/>
      <c r="O89" s="665"/>
      <c r="P89" s="665"/>
      <c r="Q89" s="665"/>
      <c r="R89" s="665"/>
    </row>
    <row r="90" spans="1:18" s="762" customFormat="1" ht="13.15" customHeight="1">
      <c r="A90" s="642"/>
      <c r="B90" s="665"/>
      <c r="C90" s="665"/>
      <c r="D90" s="665"/>
      <c r="E90" s="665"/>
      <c r="F90" s="665"/>
      <c r="G90" s="665"/>
      <c r="H90" s="665"/>
      <c r="I90" s="665"/>
      <c r="J90" s="665"/>
      <c r="K90" s="665"/>
      <c r="L90" s="665"/>
      <c r="M90" s="665"/>
      <c r="N90" s="665"/>
      <c r="O90" s="665"/>
      <c r="P90" s="665"/>
      <c r="Q90" s="665"/>
      <c r="R90" s="665"/>
    </row>
    <row r="91" spans="1:18" s="762" customFormat="1" ht="12.75">
      <c r="A91" s="642" t="s">
        <v>43</v>
      </c>
      <c r="B91" s="665"/>
      <c r="C91" s="665"/>
      <c r="D91" s="665"/>
      <c r="E91" s="769" t="s">
        <v>338</v>
      </c>
      <c r="F91" s="665"/>
      <c r="G91" s="665"/>
      <c r="H91" s="665"/>
      <c r="I91" s="665"/>
      <c r="J91" s="665"/>
      <c r="K91" s="665"/>
      <c r="L91" s="665"/>
      <c r="M91" s="665"/>
      <c r="N91" s="665"/>
      <c r="O91" s="665"/>
      <c r="P91" s="665"/>
      <c r="Q91" s="665"/>
      <c r="R91" s="665"/>
    </row>
    <row r="92" spans="1:18" s="762" customFormat="1" ht="13.15" customHeight="1">
      <c r="A92" s="642"/>
      <c r="B92" s="665"/>
      <c r="C92" s="665"/>
      <c r="D92" s="665"/>
      <c r="E92" s="769"/>
      <c r="F92" s="665"/>
      <c r="G92" s="665"/>
      <c r="H92" s="665"/>
      <c r="I92" s="665"/>
      <c r="J92" s="665"/>
      <c r="K92" s="665"/>
      <c r="L92" s="665"/>
      <c r="M92" s="665"/>
      <c r="N92" s="665"/>
      <c r="O92" s="665"/>
      <c r="P92" s="665"/>
      <c r="Q92" s="665"/>
      <c r="R92" s="665"/>
    </row>
    <row r="93" spans="1:18" s="762" customFormat="1" ht="13.15" customHeight="1">
      <c r="A93" s="642"/>
      <c r="B93" s="665"/>
      <c r="C93" s="665"/>
      <c r="D93" s="665"/>
      <c r="E93" s="665"/>
      <c r="F93" s="665"/>
      <c r="G93" s="665"/>
      <c r="H93" s="771" t="s">
        <v>315</v>
      </c>
      <c r="I93" s="771"/>
      <c r="J93" s="771"/>
      <c r="K93" s="771"/>
      <c r="L93" s="771"/>
      <c r="M93" s="771"/>
      <c r="N93" s="771"/>
      <c r="O93" s="771"/>
      <c r="P93" s="771"/>
      <c r="Q93" s="754"/>
      <c r="R93" s="754"/>
    </row>
    <row r="94" spans="1:18" s="762" customFormat="1" ht="13.15" customHeight="1">
      <c r="A94" s="642" t="s">
        <v>43</v>
      </c>
      <c r="B94" s="665"/>
      <c r="C94" s="665"/>
      <c r="D94" s="665"/>
      <c r="E94" s="665"/>
      <c r="F94" s="665"/>
      <c r="G94" s="786" t="s">
        <v>339</v>
      </c>
      <c r="H94" s="774">
        <f>H72</f>
        <v>0.06</v>
      </c>
      <c r="I94" s="775">
        <f>H94+$R94</f>
        <v>6.25E-2</v>
      </c>
      <c r="J94" s="775">
        <f t="shared" ref="J94:P94" si="6">I94+$R94</f>
        <v>6.5000000000000002E-2</v>
      </c>
      <c r="K94" s="775">
        <f t="shared" si="6"/>
        <v>6.7500000000000004E-2</v>
      </c>
      <c r="L94" s="775">
        <f t="shared" si="6"/>
        <v>7.0000000000000007E-2</v>
      </c>
      <c r="M94" s="775">
        <f t="shared" si="6"/>
        <v>7.2500000000000009E-2</v>
      </c>
      <c r="N94" s="775">
        <f t="shared" si="6"/>
        <v>7.5000000000000011E-2</v>
      </c>
      <c r="O94" s="775">
        <f t="shared" si="6"/>
        <v>7.7500000000000013E-2</v>
      </c>
      <c r="P94" s="775">
        <f t="shared" si="6"/>
        <v>8.0000000000000016E-2</v>
      </c>
      <c r="Q94" s="665"/>
      <c r="R94" s="774">
        <f>R72</f>
        <v>2.5000000000000001E-3</v>
      </c>
    </row>
    <row r="95" spans="1:18" s="762" customFormat="1" ht="13.15" customHeight="1">
      <c r="A95" s="642"/>
      <c r="B95" s="665"/>
      <c r="C95" s="665"/>
      <c r="D95" s="665"/>
      <c r="E95" s="776"/>
      <c r="F95" s="776"/>
      <c r="G95" s="787">
        <v>10</v>
      </c>
      <c r="H95" s="777"/>
      <c r="I95" s="778"/>
      <c r="J95" s="778"/>
      <c r="K95" s="778"/>
      <c r="L95" s="778"/>
      <c r="M95" s="778"/>
      <c r="N95" s="778"/>
      <c r="O95" s="778"/>
      <c r="P95" s="779"/>
      <c r="Q95" s="665"/>
      <c r="R95" s="665"/>
    </row>
    <row r="96" spans="1:18" s="762" customFormat="1" ht="13.15" customHeight="1">
      <c r="A96" s="642"/>
      <c r="B96" s="665"/>
      <c r="C96" s="665"/>
      <c r="D96" s="665"/>
      <c r="E96" s="776"/>
      <c r="F96" s="776"/>
      <c r="G96" s="788">
        <f>G95+$G$110</f>
        <v>10.25</v>
      </c>
      <c r="H96" s="780"/>
      <c r="I96" s="781"/>
      <c r="J96" s="781"/>
      <c r="K96" s="781"/>
      <c r="L96" s="781"/>
      <c r="M96" s="781"/>
      <c r="N96" s="781"/>
      <c r="O96" s="781"/>
      <c r="P96" s="782"/>
      <c r="Q96" s="665"/>
      <c r="R96" s="665"/>
    </row>
    <row r="97" spans="1:18" s="762" customFormat="1" ht="13.15" customHeight="1">
      <c r="A97" s="642"/>
      <c r="B97" s="665"/>
      <c r="C97" s="665"/>
      <c r="D97" s="665"/>
      <c r="E97" s="776"/>
      <c r="F97" s="776"/>
      <c r="G97" s="788">
        <f t="shared" ref="G97:G108" si="7">G96+$G$110</f>
        <v>10.5</v>
      </c>
      <c r="H97" s="780"/>
      <c r="I97" s="781"/>
      <c r="J97" s="781"/>
      <c r="K97" s="781"/>
      <c r="L97" s="781"/>
      <c r="M97" s="781"/>
      <c r="N97" s="781"/>
      <c r="O97" s="781"/>
      <c r="P97" s="782"/>
      <c r="Q97" s="665"/>
      <c r="R97" s="665"/>
    </row>
    <row r="98" spans="1:18" s="762" customFormat="1" ht="13.15" customHeight="1">
      <c r="A98" s="642"/>
      <c r="B98" s="665"/>
      <c r="C98" s="665"/>
      <c r="D98" s="665"/>
      <c r="E98" s="776"/>
      <c r="F98" s="776"/>
      <c r="G98" s="788">
        <f t="shared" si="7"/>
        <v>10.75</v>
      </c>
      <c r="H98" s="780"/>
      <c r="I98" s="781"/>
      <c r="J98" s="781"/>
      <c r="K98" s="781"/>
      <c r="L98" s="781"/>
      <c r="M98" s="781"/>
      <c r="N98" s="781"/>
      <c r="O98" s="781"/>
      <c r="P98" s="782"/>
      <c r="Q98" s="665"/>
      <c r="R98" s="665"/>
    </row>
    <row r="99" spans="1:18" s="762" customFormat="1" ht="13.15" customHeight="1">
      <c r="A99" s="642"/>
      <c r="B99" s="665"/>
      <c r="C99" s="665"/>
      <c r="D99" s="665"/>
      <c r="E99" s="776"/>
      <c r="F99" s="776"/>
      <c r="G99" s="788">
        <f t="shared" si="7"/>
        <v>11</v>
      </c>
      <c r="H99" s="780"/>
      <c r="I99" s="781"/>
      <c r="J99" s="781"/>
      <c r="K99" s="781"/>
      <c r="L99" s="781"/>
      <c r="M99" s="781"/>
      <c r="N99" s="781"/>
      <c r="O99" s="781"/>
      <c r="P99" s="782"/>
      <c r="Q99" s="665"/>
      <c r="R99" s="665"/>
    </row>
    <row r="100" spans="1:18" s="762" customFormat="1" ht="13.15" customHeight="1">
      <c r="A100" s="642"/>
      <c r="B100" s="665"/>
      <c r="C100" s="665"/>
      <c r="D100" s="665"/>
      <c r="E100" s="771" t="s">
        <v>85</v>
      </c>
      <c r="F100" s="771"/>
      <c r="G100" s="788">
        <f t="shared" si="7"/>
        <v>11.25</v>
      </c>
      <c r="H100" s="780"/>
      <c r="I100" s="781"/>
      <c r="J100" s="781"/>
      <c r="K100" s="781"/>
      <c r="L100" s="781"/>
      <c r="M100" s="781"/>
      <c r="N100" s="781"/>
      <c r="O100" s="781"/>
      <c r="P100" s="782"/>
      <c r="Q100" s="665"/>
      <c r="R100" s="665"/>
    </row>
    <row r="101" spans="1:18" s="762" customFormat="1" ht="13.15" customHeight="1">
      <c r="A101" s="642"/>
      <c r="B101" s="665"/>
      <c r="C101" s="665"/>
      <c r="D101" s="665"/>
      <c r="E101" s="771" t="s">
        <v>340</v>
      </c>
      <c r="F101" s="771"/>
      <c r="G101" s="788">
        <f t="shared" si="7"/>
        <v>11.5</v>
      </c>
      <c r="H101" s="780"/>
      <c r="I101" s="781"/>
      <c r="J101" s="781"/>
      <c r="K101" s="781"/>
      <c r="L101" s="781"/>
      <c r="M101" s="781"/>
      <c r="N101" s="781"/>
      <c r="O101" s="781"/>
      <c r="P101" s="782"/>
      <c r="Q101" s="665"/>
      <c r="R101" s="665"/>
    </row>
    <row r="102" spans="1:18" s="762" customFormat="1" ht="13.15" customHeight="1">
      <c r="A102" s="642"/>
      <c r="B102" s="665"/>
      <c r="C102" s="665"/>
      <c r="D102" s="665"/>
      <c r="E102" s="771" t="s">
        <v>341</v>
      </c>
      <c r="F102" s="771"/>
      <c r="G102" s="788">
        <f t="shared" si="7"/>
        <v>11.75</v>
      </c>
      <c r="H102" s="780"/>
      <c r="I102" s="781"/>
      <c r="J102" s="781"/>
      <c r="K102" s="781"/>
      <c r="L102" s="781"/>
      <c r="M102" s="781"/>
      <c r="N102" s="781"/>
      <c r="O102" s="781"/>
      <c r="P102" s="782"/>
      <c r="Q102" s="665"/>
      <c r="R102" s="665"/>
    </row>
    <row r="103" spans="1:18" s="762" customFormat="1" ht="13.15" customHeight="1">
      <c r="A103" s="642"/>
      <c r="B103" s="665"/>
      <c r="C103" s="665"/>
      <c r="D103" s="665"/>
      <c r="E103" s="776"/>
      <c r="F103" s="776"/>
      <c r="G103" s="788">
        <f t="shared" si="7"/>
        <v>12</v>
      </c>
      <c r="H103" s="780"/>
      <c r="I103" s="781"/>
      <c r="J103" s="781"/>
      <c r="K103" s="781"/>
      <c r="L103" s="781"/>
      <c r="M103" s="781"/>
      <c r="N103" s="781"/>
      <c r="O103" s="781"/>
      <c r="P103" s="782"/>
      <c r="Q103" s="665"/>
      <c r="R103" s="665"/>
    </row>
    <row r="104" spans="1:18" s="762" customFormat="1" ht="13.15" customHeight="1">
      <c r="A104" s="642"/>
      <c r="B104" s="665"/>
      <c r="C104" s="665"/>
      <c r="D104" s="665"/>
      <c r="E104" s="776"/>
      <c r="F104" s="776"/>
      <c r="G104" s="788">
        <f t="shared" si="7"/>
        <v>12.25</v>
      </c>
      <c r="H104" s="780"/>
      <c r="I104" s="781"/>
      <c r="J104" s="781"/>
      <c r="K104" s="781"/>
      <c r="L104" s="781"/>
      <c r="M104" s="781"/>
      <c r="N104" s="781"/>
      <c r="O104" s="781"/>
      <c r="P104" s="782"/>
      <c r="Q104" s="665"/>
      <c r="R104" s="665"/>
    </row>
    <row r="105" spans="1:18" s="762" customFormat="1" ht="13.15" customHeight="1">
      <c r="A105" s="642"/>
      <c r="B105" s="665"/>
      <c r="C105" s="665"/>
      <c r="D105" s="665"/>
      <c r="E105" s="776"/>
      <c r="F105" s="776"/>
      <c r="G105" s="788">
        <f t="shared" si="7"/>
        <v>12.5</v>
      </c>
      <c r="H105" s="780"/>
      <c r="I105" s="781"/>
      <c r="J105" s="781"/>
      <c r="K105" s="781"/>
      <c r="L105" s="781"/>
      <c r="M105" s="781"/>
      <c r="N105" s="781"/>
      <c r="O105" s="781"/>
      <c r="P105" s="782"/>
      <c r="Q105" s="665"/>
      <c r="R105" s="665"/>
    </row>
    <row r="106" spans="1:18" s="762" customFormat="1" ht="13.15" customHeight="1">
      <c r="A106" s="642"/>
      <c r="B106" s="665"/>
      <c r="C106" s="665"/>
      <c r="D106" s="665"/>
      <c r="E106" s="776"/>
      <c r="F106" s="776"/>
      <c r="G106" s="788">
        <f t="shared" si="7"/>
        <v>12.75</v>
      </c>
      <c r="H106" s="780"/>
      <c r="I106" s="781"/>
      <c r="J106" s="781"/>
      <c r="K106" s="781"/>
      <c r="L106" s="781"/>
      <c r="M106" s="781"/>
      <c r="N106" s="781"/>
      <c r="O106" s="781"/>
      <c r="P106" s="782"/>
      <c r="Q106" s="665"/>
      <c r="R106" s="665"/>
    </row>
    <row r="107" spans="1:18" s="762" customFormat="1" ht="13.15" customHeight="1">
      <c r="A107" s="642"/>
      <c r="B107" s="665"/>
      <c r="C107" s="665"/>
      <c r="D107" s="665"/>
      <c r="E107" s="776"/>
      <c r="F107" s="776"/>
      <c r="G107" s="788">
        <f t="shared" si="7"/>
        <v>13</v>
      </c>
      <c r="H107" s="780"/>
      <c r="I107" s="781"/>
      <c r="J107" s="781"/>
      <c r="K107" s="781"/>
      <c r="L107" s="781"/>
      <c r="M107" s="781"/>
      <c r="N107" s="781"/>
      <c r="O107" s="781"/>
      <c r="P107" s="782"/>
      <c r="Q107" s="665"/>
      <c r="R107" s="665"/>
    </row>
    <row r="108" spans="1:18" s="762" customFormat="1" ht="13.15" customHeight="1">
      <c r="A108" s="642"/>
      <c r="B108" s="665"/>
      <c r="C108" s="665"/>
      <c r="D108" s="665"/>
      <c r="E108" s="776"/>
      <c r="F108" s="776"/>
      <c r="G108" s="788">
        <f t="shared" si="7"/>
        <v>13.25</v>
      </c>
      <c r="H108" s="783"/>
      <c r="I108" s="784"/>
      <c r="J108" s="784"/>
      <c r="K108" s="784"/>
      <c r="L108" s="784"/>
      <c r="M108" s="784"/>
      <c r="N108" s="784"/>
      <c r="O108" s="784"/>
      <c r="P108" s="785"/>
      <c r="Q108" s="665"/>
      <c r="R108" s="665"/>
    </row>
    <row r="109" spans="1:18" s="762" customFormat="1" ht="13.15" customHeight="1">
      <c r="A109" s="642"/>
      <c r="B109" s="665"/>
      <c r="C109" s="665"/>
      <c r="D109" s="665"/>
      <c r="E109" s="665"/>
      <c r="F109" s="665"/>
      <c r="G109" s="665"/>
      <c r="H109" s="665"/>
      <c r="I109" s="665"/>
      <c r="J109" s="665"/>
      <c r="K109" s="665"/>
      <c r="L109" s="665"/>
      <c r="M109" s="665"/>
      <c r="N109" s="665"/>
      <c r="O109" s="665"/>
      <c r="P109" s="665"/>
      <c r="Q109" s="665"/>
      <c r="R109" s="665"/>
    </row>
    <row r="110" spans="1:18" s="762" customFormat="1" ht="13.15" customHeight="1">
      <c r="A110" s="642"/>
      <c r="B110" s="665"/>
      <c r="C110" s="665"/>
      <c r="D110" s="665"/>
      <c r="E110" s="665"/>
      <c r="F110" s="665"/>
      <c r="G110" s="787">
        <v>0.25</v>
      </c>
      <c r="H110" s="665"/>
      <c r="I110" s="665"/>
      <c r="J110" s="665"/>
      <c r="K110" s="665"/>
      <c r="L110" s="665"/>
      <c r="M110" s="665"/>
      <c r="N110" s="665"/>
      <c r="O110" s="665"/>
      <c r="P110" s="665"/>
      <c r="Q110" s="665"/>
      <c r="R110" s="665"/>
    </row>
    <row r="111" spans="1:18" s="762" customFormat="1" ht="13.15" customHeight="1">
      <c r="A111" s="642"/>
    </row>
    <row r="112" spans="1:18" s="762" customFormat="1" ht="13.15" customHeight="1">
      <c r="A112" s="642" t="s">
        <v>43</v>
      </c>
    </row>
    <row r="113" spans="1:2" s="762" customFormat="1" ht="13.15" customHeight="1">
      <c r="A113" s="642"/>
    </row>
    <row r="114" spans="1:2" s="762" customFormat="1" ht="13.15" customHeight="1">
      <c r="A114" s="642"/>
    </row>
    <row r="115" spans="1:2" s="762" customFormat="1" ht="13.15" customHeight="1">
      <c r="A115" s="642" t="s">
        <v>43</v>
      </c>
      <c r="B115" s="789" t="s">
        <v>342</v>
      </c>
    </row>
  </sheetData>
  <protectedRanges>
    <protectedRange sqref="P32" name="Range1_1"/>
    <protectedRange sqref="J32" name="Range1_2"/>
  </protectedRanges>
  <conditionalFormatting sqref="P30 J38 J30 J33:J34 J36 P33:P34 P36 P38">
    <cfRule type="cellIs" dxfId="3" priority="1" stopIfTrue="1" operator="equal">
      <formula>0.000001</formula>
    </cfRule>
  </conditionalFormatting>
  <printOptions horizontalCentered="1"/>
  <pageMargins left="0.5" right="0.5" top="0.7" bottom="0.65" header="0.25" footer="0.25"/>
  <pageSetup scale="78" orientation="landscape" r:id="rId1"/>
  <headerFooter alignWithMargins="0">
    <oddFooter>&amp;C&amp;8&amp;G&amp;R&amp;8For training purposes only!&amp;L&amp;8COPYRIGHT 2017 © by Training The Street, Inc</oddFooter>
  </headerFooter>
  <drawing r:id="rId2"/>
  <legacyDrawing r:id="rId3"/>
  <legacyDrawingHF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R115"/>
  <sheetViews>
    <sheetView showGridLines="0" tabSelected="1" zoomScaleSheetLayoutView="100" workbookViewId="0">
      <selection activeCell="A14" sqref="A14"/>
    </sheetView>
  </sheetViews>
  <sheetFormatPr defaultColWidth="8.85546875" defaultRowHeight="13.15" customHeight="1" outlineLevelRow="1"/>
  <cols>
    <col min="1" max="1" width="1.7109375" style="642" customWidth="1"/>
    <col min="2" max="2" width="2.42578125" style="696" customWidth="1"/>
    <col min="3" max="3" width="1.7109375" style="696" customWidth="1"/>
    <col min="4" max="4" width="10.42578125" style="696" bestFit="1" customWidth="1"/>
    <col min="5" max="5" width="10.85546875" style="696" bestFit="1" customWidth="1"/>
    <col min="6" max="7" width="10.42578125" style="696" bestFit="1" customWidth="1"/>
    <col min="8" max="8" width="12.28515625" style="696" bestFit="1" customWidth="1"/>
    <col min="9" max="9" width="10.85546875" style="696" bestFit="1" customWidth="1"/>
    <col min="10" max="10" width="12.85546875" style="696" bestFit="1" customWidth="1"/>
    <col min="11" max="13" width="10.85546875" style="696" bestFit="1" customWidth="1"/>
    <col min="14" max="14" width="13" style="696" bestFit="1" customWidth="1"/>
    <col min="15" max="15" width="10.85546875" style="696" bestFit="1" customWidth="1"/>
    <col min="16" max="16" width="12.7109375" style="696" bestFit="1" customWidth="1"/>
    <col min="17" max="17" width="2.7109375" style="696" customWidth="1"/>
    <col min="18" max="18" width="11.7109375" style="696" bestFit="1" customWidth="1"/>
    <col min="19" max="256" width="8.85546875" style="696"/>
    <col min="257" max="257" width="1.7109375" style="696" customWidth="1"/>
    <col min="258" max="258" width="2.42578125" style="696" customWidth="1"/>
    <col min="259" max="259" width="1.7109375" style="696" customWidth="1"/>
    <col min="260" max="260" width="10.42578125" style="696" bestFit="1" customWidth="1"/>
    <col min="261" max="261" width="10.85546875" style="696" bestFit="1" customWidth="1"/>
    <col min="262" max="263" width="10.42578125" style="696" bestFit="1" customWidth="1"/>
    <col min="264" max="264" width="12.28515625" style="696" bestFit="1" customWidth="1"/>
    <col min="265" max="265" width="10.85546875" style="696" bestFit="1" customWidth="1"/>
    <col min="266" max="266" width="12.85546875" style="696" bestFit="1" customWidth="1"/>
    <col min="267" max="269" width="10.85546875" style="696" bestFit="1" customWidth="1"/>
    <col min="270" max="270" width="13" style="696" bestFit="1" customWidth="1"/>
    <col min="271" max="271" width="10.85546875" style="696" bestFit="1" customWidth="1"/>
    <col min="272" max="272" width="12.7109375" style="696" bestFit="1" customWidth="1"/>
    <col min="273" max="273" width="2.7109375" style="696" customWidth="1"/>
    <col min="274" max="274" width="11.7109375" style="696" bestFit="1" customWidth="1"/>
    <col min="275" max="512" width="8.85546875" style="696"/>
    <col min="513" max="513" width="1.7109375" style="696" customWidth="1"/>
    <col min="514" max="514" width="2.42578125" style="696" customWidth="1"/>
    <col min="515" max="515" width="1.7109375" style="696" customWidth="1"/>
    <col min="516" max="516" width="10.42578125" style="696" bestFit="1" customWidth="1"/>
    <col min="517" max="517" width="10.85546875" style="696" bestFit="1" customWidth="1"/>
    <col min="518" max="519" width="10.42578125" style="696" bestFit="1" customWidth="1"/>
    <col min="520" max="520" width="12.28515625" style="696" bestFit="1" customWidth="1"/>
    <col min="521" max="521" width="10.85546875" style="696" bestFit="1" customWidth="1"/>
    <col min="522" max="522" width="12.85546875" style="696" bestFit="1" customWidth="1"/>
    <col min="523" max="525" width="10.85546875" style="696" bestFit="1" customWidth="1"/>
    <col min="526" max="526" width="13" style="696" bestFit="1" customWidth="1"/>
    <col min="527" max="527" width="10.85546875" style="696" bestFit="1" customWidth="1"/>
    <col min="528" max="528" width="12.7109375" style="696" bestFit="1" customWidth="1"/>
    <col min="529" max="529" width="2.7109375" style="696" customWidth="1"/>
    <col min="530" max="530" width="11.7109375" style="696" bestFit="1" customWidth="1"/>
    <col min="531" max="768" width="8.85546875" style="696"/>
    <col min="769" max="769" width="1.7109375" style="696" customWidth="1"/>
    <col min="770" max="770" width="2.42578125" style="696" customWidth="1"/>
    <col min="771" max="771" width="1.7109375" style="696" customWidth="1"/>
    <col min="772" max="772" width="10.42578125" style="696" bestFit="1" customWidth="1"/>
    <col min="773" max="773" width="10.85546875" style="696" bestFit="1" customWidth="1"/>
    <col min="774" max="775" width="10.42578125" style="696" bestFit="1" customWidth="1"/>
    <col min="776" max="776" width="12.28515625" style="696" bestFit="1" customWidth="1"/>
    <col min="777" max="777" width="10.85546875" style="696" bestFit="1" customWidth="1"/>
    <col min="778" max="778" width="12.85546875" style="696" bestFit="1" customWidth="1"/>
    <col min="779" max="781" width="10.85546875" style="696" bestFit="1" customWidth="1"/>
    <col min="782" max="782" width="13" style="696" bestFit="1" customWidth="1"/>
    <col min="783" max="783" width="10.85546875" style="696" bestFit="1" customWidth="1"/>
    <col min="784" max="784" width="12.7109375" style="696" bestFit="1" customWidth="1"/>
    <col min="785" max="785" width="2.7109375" style="696" customWidth="1"/>
    <col min="786" max="786" width="11.7109375" style="696" bestFit="1" customWidth="1"/>
    <col min="787" max="1024" width="8.85546875" style="696"/>
    <col min="1025" max="1025" width="1.7109375" style="696" customWidth="1"/>
    <col min="1026" max="1026" width="2.42578125" style="696" customWidth="1"/>
    <col min="1027" max="1027" width="1.7109375" style="696" customWidth="1"/>
    <col min="1028" max="1028" width="10.42578125" style="696" bestFit="1" customWidth="1"/>
    <col min="1029" max="1029" width="10.85546875" style="696" bestFit="1" customWidth="1"/>
    <col min="1030" max="1031" width="10.42578125" style="696" bestFit="1" customWidth="1"/>
    <col min="1032" max="1032" width="12.28515625" style="696" bestFit="1" customWidth="1"/>
    <col min="1033" max="1033" width="10.85546875" style="696" bestFit="1" customWidth="1"/>
    <col min="1034" max="1034" width="12.85546875" style="696" bestFit="1" customWidth="1"/>
    <col min="1035" max="1037" width="10.85546875" style="696" bestFit="1" customWidth="1"/>
    <col min="1038" max="1038" width="13" style="696" bestFit="1" customWidth="1"/>
    <col min="1039" max="1039" width="10.85546875" style="696" bestFit="1" customWidth="1"/>
    <col min="1040" max="1040" width="12.7109375" style="696" bestFit="1" customWidth="1"/>
    <col min="1041" max="1041" width="2.7109375" style="696" customWidth="1"/>
    <col min="1042" max="1042" width="11.7109375" style="696" bestFit="1" customWidth="1"/>
    <col min="1043" max="1280" width="8.85546875" style="696"/>
    <col min="1281" max="1281" width="1.7109375" style="696" customWidth="1"/>
    <col min="1282" max="1282" width="2.42578125" style="696" customWidth="1"/>
    <col min="1283" max="1283" width="1.7109375" style="696" customWidth="1"/>
    <col min="1284" max="1284" width="10.42578125" style="696" bestFit="1" customWidth="1"/>
    <col min="1285" max="1285" width="10.85546875" style="696" bestFit="1" customWidth="1"/>
    <col min="1286" max="1287" width="10.42578125" style="696" bestFit="1" customWidth="1"/>
    <col min="1288" max="1288" width="12.28515625" style="696" bestFit="1" customWidth="1"/>
    <col min="1289" max="1289" width="10.85546875" style="696" bestFit="1" customWidth="1"/>
    <col min="1290" max="1290" width="12.85546875" style="696" bestFit="1" customWidth="1"/>
    <col min="1291" max="1293" width="10.85546875" style="696" bestFit="1" customWidth="1"/>
    <col min="1294" max="1294" width="13" style="696" bestFit="1" customWidth="1"/>
    <col min="1295" max="1295" width="10.85546875" style="696" bestFit="1" customWidth="1"/>
    <col min="1296" max="1296" width="12.7109375" style="696" bestFit="1" customWidth="1"/>
    <col min="1297" max="1297" width="2.7109375" style="696" customWidth="1"/>
    <col min="1298" max="1298" width="11.7109375" style="696" bestFit="1" customWidth="1"/>
    <col min="1299" max="1536" width="8.85546875" style="696"/>
    <col min="1537" max="1537" width="1.7109375" style="696" customWidth="1"/>
    <col min="1538" max="1538" width="2.42578125" style="696" customWidth="1"/>
    <col min="1539" max="1539" width="1.7109375" style="696" customWidth="1"/>
    <col min="1540" max="1540" width="10.42578125" style="696" bestFit="1" customWidth="1"/>
    <col min="1541" max="1541" width="10.85546875" style="696" bestFit="1" customWidth="1"/>
    <col min="1542" max="1543" width="10.42578125" style="696" bestFit="1" customWidth="1"/>
    <col min="1544" max="1544" width="12.28515625" style="696" bestFit="1" customWidth="1"/>
    <col min="1545" max="1545" width="10.85546875" style="696" bestFit="1" customWidth="1"/>
    <col min="1546" max="1546" width="12.85546875" style="696" bestFit="1" customWidth="1"/>
    <col min="1547" max="1549" width="10.85546875" style="696" bestFit="1" customWidth="1"/>
    <col min="1550" max="1550" width="13" style="696" bestFit="1" customWidth="1"/>
    <col min="1551" max="1551" width="10.85546875" style="696" bestFit="1" customWidth="1"/>
    <col min="1552" max="1552" width="12.7109375" style="696" bestFit="1" customWidth="1"/>
    <col min="1553" max="1553" width="2.7109375" style="696" customWidth="1"/>
    <col min="1554" max="1554" width="11.7109375" style="696" bestFit="1" customWidth="1"/>
    <col min="1555" max="1792" width="8.85546875" style="696"/>
    <col min="1793" max="1793" width="1.7109375" style="696" customWidth="1"/>
    <col min="1794" max="1794" width="2.42578125" style="696" customWidth="1"/>
    <col min="1795" max="1795" width="1.7109375" style="696" customWidth="1"/>
    <col min="1796" max="1796" width="10.42578125" style="696" bestFit="1" customWidth="1"/>
    <col min="1797" max="1797" width="10.85546875" style="696" bestFit="1" customWidth="1"/>
    <col min="1798" max="1799" width="10.42578125" style="696" bestFit="1" customWidth="1"/>
    <col min="1800" max="1800" width="12.28515625" style="696" bestFit="1" customWidth="1"/>
    <col min="1801" max="1801" width="10.85546875" style="696" bestFit="1" customWidth="1"/>
    <col min="1802" max="1802" width="12.85546875" style="696" bestFit="1" customWidth="1"/>
    <col min="1803" max="1805" width="10.85546875" style="696" bestFit="1" customWidth="1"/>
    <col min="1806" max="1806" width="13" style="696" bestFit="1" customWidth="1"/>
    <col min="1807" max="1807" width="10.85546875" style="696" bestFit="1" customWidth="1"/>
    <col min="1808" max="1808" width="12.7109375" style="696" bestFit="1" customWidth="1"/>
    <col min="1809" max="1809" width="2.7109375" style="696" customWidth="1"/>
    <col min="1810" max="1810" width="11.7109375" style="696" bestFit="1" customWidth="1"/>
    <col min="1811" max="2048" width="8.85546875" style="696"/>
    <col min="2049" max="2049" width="1.7109375" style="696" customWidth="1"/>
    <col min="2050" max="2050" width="2.42578125" style="696" customWidth="1"/>
    <col min="2051" max="2051" width="1.7109375" style="696" customWidth="1"/>
    <col min="2052" max="2052" width="10.42578125" style="696" bestFit="1" customWidth="1"/>
    <col min="2053" max="2053" width="10.85546875" style="696" bestFit="1" customWidth="1"/>
    <col min="2054" max="2055" width="10.42578125" style="696" bestFit="1" customWidth="1"/>
    <col min="2056" max="2056" width="12.28515625" style="696" bestFit="1" customWidth="1"/>
    <col min="2057" max="2057" width="10.85546875" style="696" bestFit="1" customWidth="1"/>
    <col min="2058" max="2058" width="12.85546875" style="696" bestFit="1" customWidth="1"/>
    <col min="2059" max="2061" width="10.85546875" style="696" bestFit="1" customWidth="1"/>
    <col min="2062" max="2062" width="13" style="696" bestFit="1" customWidth="1"/>
    <col min="2063" max="2063" width="10.85546875" style="696" bestFit="1" customWidth="1"/>
    <col min="2064" max="2064" width="12.7109375" style="696" bestFit="1" customWidth="1"/>
    <col min="2065" max="2065" width="2.7109375" style="696" customWidth="1"/>
    <col min="2066" max="2066" width="11.7109375" style="696" bestFit="1" customWidth="1"/>
    <col min="2067" max="2304" width="8.85546875" style="696"/>
    <col min="2305" max="2305" width="1.7109375" style="696" customWidth="1"/>
    <col min="2306" max="2306" width="2.42578125" style="696" customWidth="1"/>
    <col min="2307" max="2307" width="1.7109375" style="696" customWidth="1"/>
    <col min="2308" max="2308" width="10.42578125" style="696" bestFit="1" customWidth="1"/>
    <col min="2309" max="2309" width="10.85546875" style="696" bestFit="1" customWidth="1"/>
    <col min="2310" max="2311" width="10.42578125" style="696" bestFit="1" customWidth="1"/>
    <col min="2312" max="2312" width="12.28515625" style="696" bestFit="1" customWidth="1"/>
    <col min="2313" max="2313" width="10.85546875" style="696" bestFit="1" customWidth="1"/>
    <col min="2314" max="2314" width="12.85546875" style="696" bestFit="1" customWidth="1"/>
    <col min="2315" max="2317" width="10.85546875" style="696" bestFit="1" customWidth="1"/>
    <col min="2318" max="2318" width="13" style="696" bestFit="1" customWidth="1"/>
    <col min="2319" max="2319" width="10.85546875" style="696" bestFit="1" customWidth="1"/>
    <col min="2320" max="2320" width="12.7109375" style="696" bestFit="1" customWidth="1"/>
    <col min="2321" max="2321" width="2.7109375" style="696" customWidth="1"/>
    <col min="2322" max="2322" width="11.7109375" style="696" bestFit="1" customWidth="1"/>
    <col min="2323" max="2560" width="8.85546875" style="696"/>
    <col min="2561" max="2561" width="1.7109375" style="696" customWidth="1"/>
    <col min="2562" max="2562" width="2.42578125" style="696" customWidth="1"/>
    <col min="2563" max="2563" width="1.7109375" style="696" customWidth="1"/>
    <col min="2564" max="2564" width="10.42578125" style="696" bestFit="1" customWidth="1"/>
    <col min="2565" max="2565" width="10.85546875" style="696" bestFit="1" customWidth="1"/>
    <col min="2566" max="2567" width="10.42578125" style="696" bestFit="1" customWidth="1"/>
    <col min="2568" max="2568" width="12.28515625" style="696" bestFit="1" customWidth="1"/>
    <col min="2569" max="2569" width="10.85546875" style="696" bestFit="1" customWidth="1"/>
    <col min="2570" max="2570" width="12.85546875" style="696" bestFit="1" customWidth="1"/>
    <col min="2571" max="2573" width="10.85546875" style="696" bestFit="1" customWidth="1"/>
    <col min="2574" max="2574" width="13" style="696" bestFit="1" customWidth="1"/>
    <col min="2575" max="2575" width="10.85546875" style="696" bestFit="1" customWidth="1"/>
    <col min="2576" max="2576" width="12.7109375" style="696" bestFit="1" customWidth="1"/>
    <col min="2577" max="2577" width="2.7109375" style="696" customWidth="1"/>
    <col min="2578" max="2578" width="11.7109375" style="696" bestFit="1" customWidth="1"/>
    <col min="2579" max="2816" width="8.85546875" style="696"/>
    <col min="2817" max="2817" width="1.7109375" style="696" customWidth="1"/>
    <col min="2818" max="2818" width="2.42578125" style="696" customWidth="1"/>
    <col min="2819" max="2819" width="1.7109375" style="696" customWidth="1"/>
    <col min="2820" max="2820" width="10.42578125" style="696" bestFit="1" customWidth="1"/>
    <col min="2821" max="2821" width="10.85546875" style="696" bestFit="1" customWidth="1"/>
    <col min="2822" max="2823" width="10.42578125" style="696" bestFit="1" customWidth="1"/>
    <col min="2824" max="2824" width="12.28515625" style="696" bestFit="1" customWidth="1"/>
    <col min="2825" max="2825" width="10.85546875" style="696" bestFit="1" customWidth="1"/>
    <col min="2826" max="2826" width="12.85546875" style="696" bestFit="1" customWidth="1"/>
    <col min="2827" max="2829" width="10.85546875" style="696" bestFit="1" customWidth="1"/>
    <col min="2830" max="2830" width="13" style="696" bestFit="1" customWidth="1"/>
    <col min="2831" max="2831" width="10.85546875" style="696" bestFit="1" customWidth="1"/>
    <col min="2832" max="2832" width="12.7109375" style="696" bestFit="1" customWidth="1"/>
    <col min="2833" max="2833" width="2.7109375" style="696" customWidth="1"/>
    <col min="2834" max="2834" width="11.7109375" style="696" bestFit="1" customWidth="1"/>
    <col min="2835" max="3072" width="8.85546875" style="696"/>
    <col min="3073" max="3073" width="1.7109375" style="696" customWidth="1"/>
    <col min="3074" max="3074" width="2.42578125" style="696" customWidth="1"/>
    <col min="3075" max="3075" width="1.7109375" style="696" customWidth="1"/>
    <col min="3076" max="3076" width="10.42578125" style="696" bestFit="1" customWidth="1"/>
    <col min="3077" max="3077" width="10.85546875" style="696" bestFit="1" customWidth="1"/>
    <col min="3078" max="3079" width="10.42578125" style="696" bestFit="1" customWidth="1"/>
    <col min="3080" max="3080" width="12.28515625" style="696" bestFit="1" customWidth="1"/>
    <col min="3081" max="3081" width="10.85546875" style="696" bestFit="1" customWidth="1"/>
    <col min="3082" max="3082" width="12.85546875" style="696" bestFit="1" customWidth="1"/>
    <col min="3083" max="3085" width="10.85546875" style="696" bestFit="1" customWidth="1"/>
    <col min="3086" max="3086" width="13" style="696" bestFit="1" customWidth="1"/>
    <col min="3087" max="3087" width="10.85546875" style="696" bestFit="1" customWidth="1"/>
    <col min="3088" max="3088" width="12.7109375" style="696" bestFit="1" customWidth="1"/>
    <col min="3089" max="3089" width="2.7109375" style="696" customWidth="1"/>
    <col min="3090" max="3090" width="11.7109375" style="696" bestFit="1" customWidth="1"/>
    <col min="3091" max="3328" width="8.85546875" style="696"/>
    <col min="3329" max="3329" width="1.7109375" style="696" customWidth="1"/>
    <col min="3330" max="3330" width="2.42578125" style="696" customWidth="1"/>
    <col min="3331" max="3331" width="1.7109375" style="696" customWidth="1"/>
    <col min="3332" max="3332" width="10.42578125" style="696" bestFit="1" customWidth="1"/>
    <col min="3333" max="3333" width="10.85546875" style="696" bestFit="1" customWidth="1"/>
    <col min="3334" max="3335" width="10.42578125" style="696" bestFit="1" customWidth="1"/>
    <col min="3336" max="3336" width="12.28515625" style="696" bestFit="1" customWidth="1"/>
    <col min="3337" max="3337" width="10.85546875" style="696" bestFit="1" customWidth="1"/>
    <col min="3338" max="3338" width="12.85546875" style="696" bestFit="1" customWidth="1"/>
    <col min="3339" max="3341" width="10.85546875" style="696" bestFit="1" customWidth="1"/>
    <col min="3342" max="3342" width="13" style="696" bestFit="1" customWidth="1"/>
    <col min="3343" max="3343" width="10.85546875" style="696" bestFit="1" customWidth="1"/>
    <col min="3344" max="3344" width="12.7109375" style="696" bestFit="1" customWidth="1"/>
    <col min="3345" max="3345" width="2.7109375" style="696" customWidth="1"/>
    <col min="3346" max="3346" width="11.7109375" style="696" bestFit="1" customWidth="1"/>
    <col min="3347" max="3584" width="8.85546875" style="696"/>
    <col min="3585" max="3585" width="1.7109375" style="696" customWidth="1"/>
    <col min="3586" max="3586" width="2.42578125" style="696" customWidth="1"/>
    <col min="3587" max="3587" width="1.7109375" style="696" customWidth="1"/>
    <col min="3588" max="3588" width="10.42578125" style="696" bestFit="1" customWidth="1"/>
    <col min="3589" max="3589" width="10.85546875" style="696" bestFit="1" customWidth="1"/>
    <col min="3590" max="3591" width="10.42578125" style="696" bestFit="1" customWidth="1"/>
    <col min="3592" max="3592" width="12.28515625" style="696" bestFit="1" customWidth="1"/>
    <col min="3593" max="3593" width="10.85546875" style="696" bestFit="1" customWidth="1"/>
    <col min="3594" max="3594" width="12.85546875" style="696" bestFit="1" customWidth="1"/>
    <col min="3595" max="3597" width="10.85546875" style="696" bestFit="1" customWidth="1"/>
    <col min="3598" max="3598" width="13" style="696" bestFit="1" customWidth="1"/>
    <col min="3599" max="3599" width="10.85546875" style="696" bestFit="1" customWidth="1"/>
    <col min="3600" max="3600" width="12.7109375" style="696" bestFit="1" customWidth="1"/>
    <col min="3601" max="3601" width="2.7109375" style="696" customWidth="1"/>
    <col min="3602" max="3602" width="11.7109375" style="696" bestFit="1" customWidth="1"/>
    <col min="3603" max="3840" width="8.85546875" style="696"/>
    <col min="3841" max="3841" width="1.7109375" style="696" customWidth="1"/>
    <col min="3842" max="3842" width="2.42578125" style="696" customWidth="1"/>
    <col min="3843" max="3843" width="1.7109375" style="696" customWidth="1"/>
    <col min="3844" max="3844" width="10.42578125" style="696" bestFit="1" customWidth="1"/>
    <col min="3845" max="3845" width="10.85546875" style="696" bestFit="1" customWidth="1"/>
    <col min="3846" max="3847" width="10.42578125" style="696" bestFit="1" customWidth="1"/>
    <col min="3848" max="3848" width="12.28515625" style="696" bestFit="1" customWidth="1"/>
    <col min="3849" max="3849" width="10.85546875" style="696" bestFit="1" customWidth="1"/>
    <col min="3850" max="3850" width="12.85546875" style="696" bestFit="1" customWidth="1"/>
    <col min="3851" max="3853" width="10.85546875" style="696" bestFit="1" customWidth="1"/>
    <col min="3854" max="3854" width="13" style="696" bestFit="1" customWidth="1"/>
    <col min="3855" max="3855" width="10.85546875" style="696" bestFit="1" customWidth="1"/>
    <col min="3856" max="3856" width="12.7109375" style="696" bestFit="1" customWidth="1"/>
    <col min="3857" max="3857" width="2.7109375" style="696" customWidth="1"/>
    <col min="3858" max="3858" width="11.7109375" style="696" bestFit="1" customWidth="1"/>
    <col min="3859" max="4096" width="8.85546875" style="696"/>
    <col min="4097" max="4097" width="1.7109375" style="696" customWidth="1"/>
    <col min="4098" max="4098" width="2.42578125" style="696" customWidth="1"/>
    <col min="4099" max="4099" width="1.7109375" style="696" customWidth="1"/>
    <col min="4100" max="4100" width="10.42578125" style="696" bestFit="1" customWidth="1"/>
    <col min="4101" max="4101" width="10.85546875" style="696" bestFit="1" customWidth="1"/>
    <col min="4102" max="4103" width="10.42578125" style="696" bestFit="1" customWidth="1"/>
    <col min="4104" max="4104" width="12.28515625" style="696" bestFit="1" customWidth="1"/>
    <col min="4105" max="4105" width="10.85546875" style="696" bestFit="1" customWidth="1"/>
    <col min="4106" max="4106" width="12.85546875" style="696" bestFit="1" customWidth="1"/>
    <col min="4107" max="4109" width="10.85546875" style="696" bestFit="1" customWidth="1"/>
    <col min="4110" max="4110" width="13" style="696" bestFit="1" customWidth="1"/>
    <col min="4111" max="4111" width="10.85546875" style="696" bestFit="1" customWidth="1"/>
    <col min="4112" max="4112" width="12.7109375" style="696" bestFit="1" customWidth="1"/>
    <col min="4113" max="4113" width="2.7109375" style="696" customWidth="1"/>
    <col min="4114" max="4114" width="11.7109375" style="696" bestFit="1" customWidth="1"/>
    <col min="4115" max="4352" width="8.85546875" style="696"/>
    <col min="4353" max="4353" width="1.7109375" style="696" customWidth="1"/>
    <col min="4354" max="4354" width="2.42578125" style="696" customWidth="1"/>
    <col min="4355" max="4355" width="1.7109375" style="696" customWidth="1"/>
    <col min="4356" max="4356" width="10.42578125" style="696" bestFit="1" customWidth="1"/>
    <col min="4357" max="4357" width="10.85546875" style="696" bestFit="1" customWidth="1"/>
    <col min="4358" max="4359" width="10.42578125" style="696" bestFit="1" customWidth="1"/>
    <col min="4360" max="4360" width="12.28515625" style="696" bestFit="1" customWidth="1"/>
    <col min="4361" max="4361" width="10.85546875" style="696" bestFit="1" customWidth="1"/>
    <col min="4362" max="4362" width="12.85546875" style="696" bestFit="1" customWidth="1"/>
    <col min="4363" max="4365" width="10.85546875" style="696" bestFit="1" customWidth="1"/>
    <col min="4366" max="4366" width="13" style="696" bestFit="1" customWidth="1"/>
    <col min="4367" max="4367" width="10.85546875" style="696" bestFit="1" customWidth="1"/>
    <col min="4368" max="4368" width="12.7109375" style="696" bestFit="1" customWidth="1"/>
    <col min="4369" max="4369" width="2.7109375" style="696" customWidth="1"/>
    <col min="4370" max="4370" width="11.7109375" style="696" bestFit="1" customWidth="1"/>
    <col min="4371" max="4608" width="8.85546875" style="696"/>
    <col min="4609" max="4609" width="1.7109375" style="696" customWidth="1"/>
    <col min="4610" max="4610" width="2.42578125" style="696" customWidth="1"/>
    <col min="4611" max="4611" width="1.7109375" style="696" customWidth="1"/>
    <col min="4612" max="4612" width="10.42578125" style="696" bestFit="1" customWidth="1"/>
    <col min="4613" max="4613" width="10.85546875" style="696" bestFit="1" customWidth="1"/>
    <col min="4614" max="4615" width="10.42578125" style="696" bestFit="1" customWidth="1"/>
    <col min="4616" max="4616" width="12.28515625" style="696" bestFit="1" customWidth="1"/>
    <col min="4617" max="4617" width="10.85546875" style="696" bestFit="1" customWidth="1"/>
    <col min="4618" max="4618" width="12.85546875" style="696" bestFit="1" customWidth="1"/>
    <col min="4619" max="4621" width="10.85546875" style="696" bestFit="1" customWidth="1"/>
    <col min="4622" max="4622" width="13" style="696" bestFit="1" customWidth="1"/>
    <col min="4623" max="4623" width="10.85546875" style="696" bestFit="1" customWidth="1"/>
    <col min="4624" max="4624" width="12.7109375" style="696" bestFit="1" customWidth="1"/>
    <col min="4625" max="4625" width="2.7109375" style="696" customWidth="1"/>
    <col min="4626" max="4626" width="11.7109375" style="696" bestFit="1" customWidth="1"/>
    <col min="4627" max="4864" width="8.85546875" style="696"/>
    <col min="4865" max="4865" width="1.7109375" style="696" customWidth="1"/>
    <col min="4866" max="4866" width="2.42578125" style="696" customWidth="1"/>
    <col min="4867" max="4867" width="1.7109375" style="696" customWidth="1"/>
    <col min="4868" max="4868" width="10.42578125" style="696" bestFit="1" customWidth="1"/>
    <col min="4869" max="4869" width="10.85546875" style="696" bestFit="1" customWidth="1"/>
    <col min="4870" max="4871" width="10.42578125" style="696" bestFit="1" customWidth="1"/>
    <col min="4872" max="4872" width="12.28515625" style="696" bestFit="1" customWidth="1"/>
    <col min="4873" max="4873" width="10.85546875" style="696" bestFit="1" customWidth="1"/>
    <col min="4874" max="4874" width="12.85546875" style="696" bestFit="1" customWidth="1"/>
    <col min="4875" max="4877" width="10.85546875" style="696" bestFit="1" customWidth="1"/>
    <col min="4878" max="4878" width="13" style="696" bestFit="1" customWidth="1"/>
    <col min="4879" max="4879" width="10.85546875" style="696" bestFit="1" customWidth="1"/>
    <col min="4880" max="4880" width="12.7109375" style="696" bestFit="1" customWidth="1"/>
    <col min="4881" max="4881" width="2.7109375" style="696" customWidth="1"/>
    <col min="4882" max="4882" width="11.7109375" style="696" bestFit="1" customWidth="1"/>
    <col min="4883" max="5120" width="8.85546875" style="696"/>
    <col min="5121" max="5121" width="1.7109375" style="696" customWidth="1"/>
    <col min="5122" max="5122" width="2.42578125" style="696" customWidth="1"/>
    <col min="5123" max="5123" width="1.7109375" style="696" customWidth="1"/>
    <col min="5124" max="5124" width="10.42578125" style="696" bestFit="1" customWidth="1"/>
    <col min="5125" max="5125" width="10.85546875" style="696" bestFit="1" customWidth="1"/>
    <col min="5126" max="5127" width="10.42578125" style="696" bestFit="1" customWidth="1"/>
    <col min="5128" max="5128" width="12.28515625" style="696" bestFit="1" customWidth="1"/>
    <col min="5129" max="5129" width="10.85546875" style="696" bestFit="1" customWidth="1"/>
    <col min="5130" max="5130" width="12.85546875" style="696" bestFit="1" customWidth="1"/>
    <col min="5131" max="5133" width="10.85546875" style="696" bestFit="1" customWidth="1"/>
    <col min="5134" max="5134" width="13" style="696" bestFit="1" customWidth="1"/>
    <col min="5135" max="5135" width="10.85546875" style="696" bestFit="1" customWidth="1"/>
    <col min="5136" max="5136" width="12.7109375" style="696" bestFit="1" customWidth="1"/>
    <col min="5137" max="5137" width="2.7109375" style="696" customWidth="1"/>
    <col min="5138" max="5138" width="11.7109375" style="696" bestFit="1" customWidth="1"/>
    <col min="5139" max="5376" width="8.85546875" style="696"/>
    <col min="5377" max="5377" width="1.7109375" style="696" customWidth="1"/>
    <col min="5378" max="5378" width="2.42578125" style="696" customWidth="1"/>
    <col min="5379" max="5379" width="1.7109375" style="696" customWidth="1"/>
    <col min="5380" max="5380" width="10.42578125" style="696" bestFit="1" customWidth="1"/>
    <col min="5381" max="5381" width="10.85546875" style="696" bestFit="1" customWidth="1"/>
    <col min="5382" max="5383" width="10.42578125" style="696" bestFit="1" customWidth="1"/>
    <col min="5384" max="5384" width="12.28515625" style="696" bestFit="1" customWidth="1"/>
    <col min="5385" max="5385" width="10.85546875" style="696" bestFit="1" customWidth="1"/>
    <col min="5386" max="5386" width="12.85546875" style="696" bestFit="1" customWidth="1"/>
    <col min="5387" max="5389" width="10.85546875" style="696" bestFit="1" customWidth="1"/>
    <col min="5390" max="5390" width="13" style="696" bestFit="1" customWidth="1"/>
    <col min="5391" max="5391" width="10.85546875" style="696" bestFit="1" customWidth="1"/>
    <col min="5392" max="5392" width="12.7109375" style="696" bestFit="1" customWidth="1"/>
    <col min="5393" max="5393" width="2.7109375" style="696" customWidth="1"/>
    <col min="5394" max="5394" width="11.7109375" style="696" bestFit="1" customWidth="1"/>
    <col min="5395" max="5632" width="8.85546875" style="696"/>
    <col min="5633" max="5633" width="1.7109375" style="696" customWidth="1"/>
    <col min="5634" max="5634" width="2.42578125" style="696" customWidth="1"/>
    <col min="5635" max="5635" width="1.7109375" style="696" customWidth="1"/>
    <col min="5636" max="5636" width="10.42578125" style="696" bestFit="1" customWidth="1"/>
    <col min="5637" max="5637" width="10.85546875" style="696" bestFit="1" customWidth="1"/>
    <col min="5638" max="5639" width="10.42578125" style="696" bestFit="1" customWidth="1"/>
    <col min="5640" max="5640" width="12.28515625" style="696" bestFit="1" customWidth="1"/>
    <col min="5641" max="5641" width="10.85546875" style="696" bestFit="1" customWidth="1"/>
    <col min="5642" max="5642" width="12.85546875" style="696" bestFit="1" customWidth="1"/>
    <col min="5643" max="5645" width="10.85546875" style="696" bestFit="1" customWidth="1"/>
    <col min="5646" max="5646" width="13" style="696" bestFit="1" customWidth="1"/>
    <col min="5647" max="5647" width="10.85546875" style="696" bestFit="1" customWidth="1"/>
    <col min="5648" max="5648" width="12.7109375" style="696" bestFit="1" customWidth="1"/>
    <col min="5649" max="5649" width="2.7109375" style="696" customWidth="1"/>
    <col min="5650" max="5650" width="11.7109375" style="696" bestFit="1" customWidth="1"/>
    <col min="5651" max="5888" width="8.85546875" style="696"/>
    <col min="5889" max="5889" width="1.7109375" style="696" customWidth="1"/>
    <col min="5890" max="5890" width="2.42578125" style="696" customWidth="1"/>
    <col min="5891" max="5891" width="1.7109375" style="696" customWidth="1"/>
    <col min="5892" max="5892" width="10.42578125" style="696" bestFit="1" customWidth="1"/>
    <col min="5893" max="5893" width="10.85546875" style="696" bestFit="1" customWidth="1"/>
    <col min="5894" max="5895" width="10.42578125" style="696" bestFit="1" customWidth="1"/>
    <col min="5896" max="5896" width="12.28515625" style="696" bestFit="1" customWidth="1"/>
    <col min="5897" max="5897" width="10.85546875" style="696" bestFit="1" customWidth="1"/>
    <col min="5898" max="5898" width="12.85546875" style="696" bestFit="1" customWidth="1"/>
    <col min="5899" max="5901" width="10.85546875" style="696" bestFit="1" customWidth="1"/>
    <col min="5902" max="5902" width="13" style="696" bestFit="1" customWidth="1"/>
    <col min="5903" max="5903" width="10.85546875" style="696" bestFit="1" customWidth="1"/>
    <col min="5904" max="5904" width="12.7109375" style="696" bestFit="1" customWidth="1"/>
    <col min="5905" max="5905" width="2.7109375" style="696" customWidth="1"/>
    <col min="5906" max="5906" width="11.7109375" style="696" bestFit="1" customWidth="1"/>
    <col min="5907" max="6144" width="8.85546875" style="696"/>
    <col min="6145" max="6145" width="1.7109375" style="696" customWidth="1"/>
    <col min="6146" max="6146" width="2.42578125" style="696" customWidth="1"/>
    <col min="6147" max="6147" width="1.7109375" style="696" customWidth="1"/>
    <col min="6148" max="6148" width="10.42578125" style="696" bestFit="1" customWidth="1"/>
    <col min="6149" max="6149" width="10.85546875" style="696" bestFit="1" customWidth="1"/>
    <col min="6150" max="6151" width="10.42578125" style="696" bestFit="1" customWidth="1"/>
    <col min="6152" max="6152" width="12.28515625" style="696" bestFit="1" customWidth="1"/>
    <col min="6153" max="6153" width="10.85546875" style="696" bestFit="1" customWidth="1"/>
    <col min="6154" max="6154" width="12.85546875" style="696" bestFit="1" customWidth="1"/>
    <col min="6155" max="6157" width="10.85546875" style="696" bestFit="1" customWidth="1"/>
    <col min="6158" max="6158" width="13" style="696" bestFit="1" customWidth="1"/>
    <col min="6159" max="6159" width="10.85546875" style="696" bestFit="1" customWidth="1"/>
    <col min="6160" max="6160" width="12.7109375" style="696" bestFit="1" customWidth="1"/>
    <col min="6161" max="6161" width="2.7109375" style="696" customWidth="1"/>
    <col min="6162" max="6162" width="11.7109375" style="696" bestFit="1" customWidth="1"/>
    <col min="6163" max="6400" width="8.85546875" style="696"/>
    <col min="6401" max="6401" width="1.7109375" style="696" customWidth="1"/>
    <col min="6402" max="6402" width="2.42578125" style="696" customWidth="1"/>
    <col min="6403" max="6403" width="1.7109375" style="696" customWidth="1"/>
    <col min="6404" max="6404" width="10.42578125" style="696" bestFit="1" customWidth="1"/>
    <col min="6405" max="6405" width="10.85546875" style="696" bestFit="1" customWidth="1"/>
    <col min="6406" max="6407" width="10.42578125" style="696" bestFit="1" customWidth="1"/>
    <col min="6408" max="6408" width="12.28515625" style="696" bestFit="1" customWidth="1"/>
    <col min="6409" max="6409" width="10.85546875" style="696" bestFit="1" customWidth="1"/>
    <col min="6410" max="6410" width="12.85546875" style="696" bestFit="1" customWidth="1"/>
    <col min="6411" max="6413" width="10.85546875" style="696" bestFit="1" customWidth="1"/>
    <col min="6414" max="6414" width="13" style="696" bestFit="1" customWidth="1"/>
    <col min="6415" max="6415" width="10.85546875" style="696" bestFit="1" customWidth="1"/>
    <col min="6416" max="6416" width="12.7109375" style="696" bestFit="1" customWidth="1"/>
    <col min="6417" max="6417" width="2.7109375" style="696" customWidth="1"/>
    <col min="6418" max="6418" width="11.7109375" style="696" bestFit="1" customWidth="1"/>
    <col min="6419" max="6656" width="8.85546875" style="696"/>
    <col min="6657" max="6657" width="1.7109375" style="696" customWidth="1"/>
    <col min="6658" max="6658" width="2.42578125" style="696" customWidth="1"/>
    <col min="6659" max="6659" width="1.7109375" style="696" customWidth="1"/>
    <col min="6660" max="6660" width="10.42578125" style="696" bestFit="1" customWidth="1"/>
    <col min="6661" max="6661" width="10.85546875" style="696" bestFit="1" customWidth="1"/>
    <col min="6662" max="6663" width="10.42578125" style="696" bestFit="1" customWidth="1"/>
    <col min="6664" max="6664" width="12.28515625" style="696" bestFit="1" customWidth="1"/>
    <col min="6665" max="6665" width="10.85546875" style="696" bestFit="1" customWidth="1"/>
    <col min="6666" max="6666" width="12.85546875" style="696" bestFit="1" customWidth="1"/>
    <col min="6667" max="6669" width="10.85546875" style="696" bestFit="1" customWidth="1"/>
    <col min="6670" max="6670" width="13" style="696" bestFit="1" customWidth="1"/>
    <col min="6671" max="6671" width="10.85546875" style="696" bestFit="1" customWidth="1"/>
    <col min="6672" max="6672" width="12.7109375" style="696" bestFit="1" customWidth="1"/>
    <col min="6673" max="6673" width="2.7109375" style="696" customWidth="1"/>
    <col min="6674" max="6674" width="11.7109375" style="696" bestFit="1" customWidth="1"/>
    <col min="6675" max="6912" width="8.85546875" style="696"/>
    <col min="6913" max="6913" width="1.7109375" style="696" customWidth="1"/>
    <col min="6914" max="6914" width="2.42578125" style="696" customWidth="1"/>
    <col min="6915" max="6915" width="1.7109375" style="696" customWidth="1"/>
    <col min="6916" max="6916" width="10.42578125" style="696" bestFit="1" customWidth="1"/>
    <col min="6917" max="6917" width="10.85546875" style="696" bestFit="1" customWidth="1"/>
    <col min="6918" max="6919" width="10.42578125" style="696" bestFit="1" customWidth="1"/>
    <col min="6920" max="6920" width="12.28515625" style="696" bestFit="1" customWidth="1"/>
    <col min="6921" max="6921" width="10.85546875" style="696" bestFit="1" customWidth="1"/>
    <col min="6922" max="6922" width="12.85546875" style="696" bestFit="1" customWidth="1"/>
    <col min="6923" max="6925" width="10.85546875" style="696" bestFit="1" customWidth="1"/>
    <col min="6926" max="6926" width="13" style="696" bestFit="1" customWidth="1"/>
    <col min="6927" max="6927" width="10.85546875" style="696" bestFit="1" customWidth="1"/>
    <col min="6928" max="6928" width="12.7109375" style="696" bestFit="1" customWidth="1"/>
    <col min="6929" max="6929" width="2.7109375" style="696" customWidth="1"/>
    <col min="6930" max="6930" width="11.7109375" style="696" bestFit="1" customWidth="1"/>
    <col min="6931" max="7168" width="8.85546875" style="696"/>
    <col min="7169" max="7169" width="1.7109375" style="696" customWidth="1"/>
    <col min="7170" max="7170" width="2.42578125" style="696" customWidth="1"/>
    <col min="7171" max="7171" width="1.7109375" style="696" customWidth="1"/>
    <col min="7172" max="7172" width="10.42578125" style="696" bestFit="1" customWidth="1"/>
    <col min="7173" max="7173" width="10.85546875" style="696" bestFit="1" customWidth="1"/>
    <col min="7174" max="7175" width="10.42578125" style="696" bestFit="1" customWidth="1"/>
    <col min="7176" max="7176" width="12.28515625" style="696" bestFit="1" customWidth="1"/>
    <col min="7177" max="7177" width="10.85546875" style="696" bestFit="1" customWidth="1"/>
    <col min="7178" max="7178" width="12.85546875" style="696" bestFit="1" customWidth="1"/>
    <col min="7179" max="7181" width="10.85546875" style="696" bestFit="1" customWidth="1"/>
    <col min="7182" max="7182" width="13" style="696" bestFit="1" customWidth="1"/>
    <col min="7183" max="7183" width="10.85546875" style="696" bestFit="1" customWidth="1"/>
    <col min="7184" max="7184" width="12.7109375" style="696" bestFit="1" customWidth="1"/>
    <col min="7185" max="7185" width="2.7109375" style="696" customWidth="1"/>
    <col min="7186" max="7186" width="11.7109375" style="696" bestFit="1" customWidth="1"/>
    <col min="7187" max="7424" width="8.85546875" style="696"/>
    <col min="7425" max="7425" width="1.7109375" style="696" customWidth="1"/>
    <col min="7426" max="7426" width="2.42578125" style="696" customWidth="1"/>
    <col min="7427" max="7427" width="1.7109375" style="696" customWidth="1"/>
    <col min="7428" max="7428" width="10.42578125" style="696" bestFit="1" customWidth="1"/>
    <col min="7429" max="7429" width="10.85546875" style="696" bestFit="1" customWidth="1"/>
    <col min="7430" max="7431" width="10.42578125" style="696" bestFit="1" customWidth="1"/>
    <col min="7432" max="7432" width="12.28515625" style="696" bestFit="1" customWidth="1"/>
    <col min="7433" max="7433" width="10.85546875" style="696" bestFit="1" customWidth="1"/>
    <col min="7434" max="7434" width="12.85546875" style="696" bestFit="1" customWidth="1"/>
    <col min="7435" max="7437" width="10.85546875" style="696" bestFit="1" customWidth="1"/>
    <col min="7438" max="7438" width="13" style="696" bestFit="1" customWidth="1"/>
    <col min="7439" max="7439" width="10.85546875" style="696" bestFit="1" customWidth="1"/>
    <col min="7440" max="7440" width="12.7109375" style="696" bestFit="1" customWidth="1"/>
    <col min="7441" max="7441" width="2.7109375" style="696" customWidth="1"/>
    <col min="7442" max="7442" width="11.7109375" style="696" bestFit="1" customWidth="1"/>
    <col min="7443" max="7680" width="8.85546875" style="696"/>
    <col min="7681" max="7681" width="1.7109375" style="696" customWidth="1"/>
    <col min="7682" max="7682" width="2.42578125" style="696" customWidth="1"/>
    <col min="7683" max="7683" width="1.7109375" style="696" customWidth="1"/>
    <col min="7684" max="7684" width="10.42578125" style="696" bestFit="1" customWidth="1"/>
    <col min="7685" max="7685" width="10.85546875" style="696" bestFit="1" customWidth="1"/>
    <col min="7686" max="7687" width="10.42578125" style="696" bestFit="1" customWidth="1"/>
    <col min="7688" max="7688" width="12.28515625" style="696" bestFit="1" customWidth="1"/>
    <col min="7689" max="7689" width="10.85546875" style="696" bestFit="1" customWidth="1"/>
    <col min="7690" max="7690" width="12.85546875" style="696" bestFit="1" customWidth="1"/>
    <col min="7691" max="7693" width="10.85546875" style="696" bestFit="1" customWidth="1"/>
    <col min="7694" max="7694" width="13" style="696" bestFit="1" customWidth="1"/>
    <col min="7695" max="7695" width="10.85546875" style="696" bestFit="1" customWidth="1"/>
    <col min="7696" max="7696" width="12.7109375" style="696" bestFit="1" customWidth="1"/>
    <col min="7697" max="7697" width="2.7109375" style="696" customWidth="1"/>
    <col min="7698" max="7698" width="11.7109375" style="696" bestFit="1" customWidth="1"/>
    <col min="7699" max="7936" width="8.85546875" style="696"/>
    <col min="7937" max="7937" width="1.7109375" style="696" customWidth="1"/>
    <col min="7938" max="7938" width="2.42578125" style="696" customWidth="1"/>
    <col min="7939" max="7939" width="1.7109375" style="696" customWidth="1"/>
    <col min="7940" max="7940" width="10.42578125" style="696" bestFit="1" customWidth="1"/>
    <col min="7941" max="7941" width="10.85546875" style="696" bestFit="1" customWidth="1"/>
    <col min="7942" max="7943" width="10.42578125" style="696" bestFit="1" customWidth="1"/>
    <col min="7944" max="7944" width="12.28515625" style="696" bestFit="1" customWidth="1"/>
    <col min="7945" max="7945" width="10.85546875" style="696" bestFit="1" customWidth="1"/>
    <col min="7946" max="7946" width="12.85546875" style="696" bestFit="1" customWidth="1"/>
    <col min="7947" max="7949" width="10.85546875" style="696" bestFit="1" customWidth="1"/>
    <col min="7950" max="7950" width="13" style="696" bestFit="1" customWidth="1"/>
    <col min="7951" max="7951" width="10.85546875" style="696" bestFit="1" customWidth="1"/>
    <col min="7952" max="7952" width="12.7109375" style="696" bestFit="1" customWidth="1"/>
    <col min="7953" max="7953" width="2.7109375" style="696" customWidth="1"/>
    <col min="7954" max="7954" width="11.7109375" style="696" bestFit="1" customWidth="1"/>
    <col min="7955" max="8192" width="8.85546875" style="696"/>
    <col min="8193" max="8193" width="1.7109375" style="696" customWidth="1"/>
    <col min="8194" max="8194" width="2.42578125" style="696" customWidth="1"/>
    <col min="8195" max="8195" width="1.7109375" style="696" customWidth="1"/>
    <col min="8196" max="8196" width="10.42578125" style="696" bestFit="1" customWidth="1"/>
    <col min="8197" max="8197" width="10.85546875" style="696" bestFit="1" customWidth="1"/>
    <col min="8198" max="8199" width="10.42578125" style="696" bestFit="1" customWidth="1"/>
    <col min="8200" max="8200" width="12.28515625" style="696" bestFit="1" customWidth="1"/>
    <col min="8201" max="8201" width="10.85546875" style="696" bestFit="1" customWidth="1"/>
    <col min="8202" max="8202" width="12.85546875" style="696" bestFit="1" customWidth="1"/>
    <col min="8203" max="8205" width="10.85546875" style="696" bestFit="1" customWidth="1"/>
    <col min="8206" max="8206" width="13" style="696" bestFit="1" customWidth="1"/>
    <col min="8207" max="8207" width="10.85546875" style="696" bestFit="1" customWidth="1"/>
    <col min="8208" max="8208" width="12.7109375" style="696" bestFit="1" customWidth="1"/>
    <col min="8209" max="8209" width="2.7109375" style="696" customWidth="1"/>
    <col min="8210" max="8210" width="11.7109375" style="696" bestFit="1" customWidth="1"/>
    <col min="8211" max="8448" width="8.85546875" style="696"/>
    <col min="8449" max="8449" width="1.7109375" style="696" customWidth="1"/>
    <col min="8450" max="8450" width="2.42578125" style="696" customWidth="1"/>
    <col min="8451" max="8451" width="1.7109375" style="696" customWidth="1"/>
    <col min="8452" max="8452" width="10.42578125" style="696" bestFit="1" customWidth="1"/>
    <col min="8453" max="8453" width="10.85546875" style="696" bestFit="1" customWidth="1"/>
    <col min="8454" max="8455" width="10.42578125" style="696" bestFit="1" customWidth="1"/>
    <col min="8456" max="8456" width="12.28515625" style="696" bestFit="1" customWidth="1"/>
    <col min="8457" max="8457" width="10.85546875" style="696" bestFit="1" customWidth="1"/>
    <col min="8458" max="8458" width="12.85546875" style="696" bestFit="1" customWidth="1"/>
    <col min="8459" max="8461" width="10.85546875" style="696" bestFit="1" customWidth="1"/>
    <col min="8462" max="8462" width="13" style="696" bestFit="1" customWidth="1"/>
    <col min="8463" max="8463" width="10.85546875" style="696" bestFit="1" customWidth="1"/>
    <col min="8464" max="8464" width="12.7109375" style="696" bestFit="1" customWidth="1"/>
    <col min="8465" max="8465" width="2.7109375" style="696" customWidth="1"/>
    <col min="8466" max="8466" width="11.7109375" style="696" bestFit="1" customWidth="1"/>
    <col min="8467" max="8704" width="8.85546875" style="696"/>
    <col min="8705" max="8705" width="1.7109375" style="696" customWidth="1"/>
    <col min="8706" max="8706" width="2.42578125" style="696" customWidth="1"/>
    <col min="8707" max="8707" width="1.7109375" style="696" customWidth="1"/>
    <col min="8708" max="8708" width="10.42578125" style="696" bestFit="1" customWidth="1"/>
    <col min="8709" max="8709" width="10.85546875" style="696" bestFit="1" customWidth="1"/>
    <col min="8710" max="8711" width="10.42578125" style="696" bestFit="1" customWidth="1"/>
    <col min="8712" max="8712" width="12.28515625" style="696" bestFit="1" customWidth="1"/>
    <col min="8713" max="8713" width="10.85546875" style="696" bestFit="1" customWidth="1"/>
    <col min="8714" max="8714" width="12.85546875" style="696" bestFit="1" customWidth="1"/>
    <col min="8715" max="8717" width="10.85546875" style="696" bestFit="1" customWidth="1"/>
    <col min="8718" max="8718" width="13" style="696" bestFit="1" customWidth="1"/>
    <col min="8719" max="8719" width="10.85546875" style="696" bestFit="1" customWidth="1"/>
    <col min="8720" max="8720" width="12.7109375" style="696" bestFit="1" customWidth="1"/>
    <col min="8721" max="8721" width="2.7109375" style="696" customWidth="1"/>
    <col min="8722" max="8722" width="11.7109375" style="696" bestFit="1" customWidth="1"/>
    <col min="8723" max="8960" width="8.85546875" style="696"/>
    <col min="8961" max="8961" width="1.7109375" style="696" customWidth="1"/>
    <col min="8962" max="8962" width="2.42578125" style="696" customWidth="1"/>
    <col min="8963" max="8963" width="1.7109375" style="696" customWidth="1"/>
    <col min="8964" max="8964" width="10.42578125" style="696" bestFit="1" customWidth="1"/>
    <col min="8965" max="8965" width="10.85546875" style="696" bestFit="1" customWidth="1"/>
    <col min="8966" max="8967" width="10.42578125" style="696" bestFit="1" customWidth="1"/>
    <col min="8968" max="8968" width="12.28515625" style="696" bestFit="1" customWidth="1"/>
    <col min="8969" max="8969" width="10.85546875" style="696" bestFit="1" customWidth="1"/>
    <col min="8970" max="8970" width="12.85546875" style="696" bestFit="1" customWidth="1"/>
    <col min="8971" max="8973" width="10.85546875" style="696" bestFit="1" customWidth="1"/>
    <col min="8974" max="8974" width="13" style="696" bestFit="1" customWidth="1"/>
    <col min="8975" max="8975" width="10.85546875" style="696" bestFit="1" customWidth="1"/>
    <col min="8976" max="8976" width="12.7109375" style="696" bestFit="1" customWidth="1"/>
    <col min="8977" max="8977" width="2.7109375" style="696" customWidth="1"/>
    <col min="8978" max="8978" width="11.7109375" style="696" bestFit="1" customWidth="1"/>
    <col min="8979" max="9216" width="8.85546875" style="696"/>
    <col min="9217" max="9217" width="1.7109375" style="696" customWidth="1"/>
    <col min="9218" max="9218" width="2.42578125" style="696" customWidth="1"/>
    <col min="9219" max="9219" width="1.7109375" style="696" customWidth="1"/>
    <col min="9220" max="9220" width="10.42578125" style="696" bestFit="1" customWidth="1"/>
    <col min="9221" max="9221" width="10.85546875" style="696" bestFit="1" customWidth="1"/>
    <col min="9222" max="9223" width="10.42578125" style="696" bestFit="1" customWidth="1"/>
    <col min="9224" max="9224" width="12.28515625" style="696" bestFit="1" customWidth="1"/>
    <col min="9225" max="9225" width="10.85546875" style="696" bestFit="1" customWidth="1"/>
    <col min="9226" max="9226" width="12.85546875" style="696" bestFit="1" customWidth="1"/>
    <col min="9227" max="9229" width="10.85546875" style="696" bestFit="1" customWidth="1"/>
    <col min="9230" max="9230" width="13" style="696" bestFit="1" customWidth="1"/>
    <col min="9231" max="9231" width="10.85546875" style="696" bestFit="1" customWidth="1"/>
    <col min="9232" max="9232" width="12.7109375" style="696" bestFit="1" customWidth="1"/>
    <col min="9233" max="9233" width="2.7109375" style="696" customWidth="1"/>
    <col min="9234" max="9234" width="11.7109375" style="696" bestFit="1" customWidth="1"/>
    <col min="9235" max="9472" width="8.85546875" style="696"/>
    <col min="9473" max="9473" width="1.7109375" style="696" customWidth="1"/>
    <col min="9474" max="9474" width="2.42578125" style="696" customWidth="1"/>
    <col min="9475" max="9475" width="1.7109375" style="696" customWidth="1"/>
    <col min="9476" max="9476" width="10.42578125" style="696" bestFit="1" customWidth="1"/>
    <col min="9477" max="9477" width="10.85546875" style="696" bestFit="1" customWidth="1"/>
    <col min="9478" max="9479" width="10.42578125" style="696" bestFit="1" customWidth="1"/>
    <col min="9480" max="9480" width="12.28515625" style="696" bestFit="1" customWidth="1"/>
    <col min="9481" max="9481" width="10.85546875" style="696" bestFit="1" customWidth="1"/>
    <col min="9482" max="9482" width="12.85546875" style="696" bestFit="1" customWidth="1"/>
    <col min="9483" max="9485" width="10.85546875" style="696" bestFit="1" customWidth="1"/>
    <col min="9486" max="9486" width="13" style="696" bestFit="1" customWidth="1"/>
    <col min="9487" max="9487" width="10.85546875" style="696" bestFit="1" customWidth="1"/>
    <col min="9488" max="9488" width="12.7109375" style="696" bestFit="1" customWidth="1"/>
    <col min="9489" max="9489" width="2.7109375" style="696" customWidth="1"/>
    <col min="9490" max="9490" width="11.7109375" style="696" bestFit="1" customWidth="1"/>
    <col min="9491" max="9728" width="8.85546875" style="696"/>
    <col min="9729" max="9729" width="1.7109375" style="696" customWidth="1"/>
    <col min="9730" max="9730" width="2.42578125" style="696" customWidth="1"/>
    <col min="9731" max="9731" width="1.7109375" style="696" customWidth="1"/>
    <col min="9732" max="9732" width="10.42578125" style="696" bestFit="1" customWidth="1"/>
    <col min="9733" max="9733" width="10.85546875" style="696" bestFit="1" customWidth="1"/>
    <col min="9734" max="9735" width="10.42578125" style="696" bestFit="1" customWidth="1"/>
    <col min="9736" max="9736" width="12.28515625" style="696" bestFit="1" customWidth="1"/>
    <col min="9737" max="9737" width="10.85546875" style="696" bestFit="1" customWidth="1"/>
    <col min="9738" max="9738" width="12.85546875" style="696" bestFit="1" customWidth="1"/>
    <col min="9739" max="9741" width="10.85546875" style="696" bestFit="1" customWidth="1"/>
    <col min="9742" max="9742" width="13" style="696" bestFit="1" customWidth="1"/>
    <col min="9743" max="9743" width="10.85546875" style="696" bestFit="1" customWidth="1"/>
    <col min="9744" max="9744" width="12.7109375" style="696" bestFit="1" customWidth="1"/>
    <col min="9745" max="9745" width="2.7109375" style="696" customWidth="1"/>
    <col min="9746" max="9746" width="11.7109375" style="696" bestFit="1" customWidth="1"/>
    <col min="9747" max="9984" width="8.85546875" style="696"/>
    <col min="9985" max="9985" width="1.7109375" style="696" customWidth="1"/>
    <col min="9986" max="9986" width="2.42578125" style="696" customWidth="1"/>
    <col min="9987" max="9987" width="1.7109375" style="696" customWidth="1"/>
    <col min="9988" max="9988" width="10.42578125" style="696" bestFit="1" customWidth="1"/>
    <col min="9989" max="9989" width="10.85546875" style="696" bestFit="1" customWidth="1"/>
    <col min="9990" max="9991" width="10.42578125" style="696" bestFit="1" customWidth="1"/>
    <col min="9992" max="9992" width="12.28515625" style="696" bestFit="1" customWidth="1"/>
    <col min="9993" max="9993" width="10.85546875" style="696" bestFit="1" customWidth="1"/>
    <col min="9994" max="9994" width="12.85546875" style="696" bestFit="1" customWidth="1"/>
    <col min="9995" max="9997" width="10.85546875" style="696" bestFit="1" customWidth="1"/>
    <col min="9998" max="9998" width="13" style="696" bestFit="1" customWidth="1"/>
    <col min="9999" max="9999" width="10.85546875" style="696" bestFit="1" customWidth="1"/>
    <col min="10000" max="10000" width="12.7109375" style="696" bestFit="1" customWidth="1"/>
    <col min="10001" max="10001" width="2.7109375" style="696" customWidth="1"/>
    <col min="10002" max="10002" width="11.7109375" style="696" bestFit="1" customWidth="1"/>
    <col min="10003" max="10240" width="8.85546875" style="696"/>
    <col min="10241" max="10241" width="1.7109375" style="696" customWidth="1"/>
    <col min="10242" max="10242" width="2.42578125" style="696" customWidth="1"/>
    <col min="10243" max="10243" width="1.7109375" style="696" customWidth="1"/>
    <col min="10244" max="10244" width="10.42578125" style="696" bestFit="1" customWidth="1"/>
    <col min="10245" max="10245" width="10.85546875" style="696" bestFit="1" customWidth="1"/>
    <col min="10246" max="10247" width="10.42578125" style="696" bestFit="1" customWidth="1"/>
    <col min="10248" max="10248" width="12.28515625" style="696" bestFit="1" customWidth="1"/>
    <col min="10249" max="10249" width="10.85546875" style="696" bestFit="1" customWidth="1"/>
    <col min="10250" max="10250" width="12.85546875" style="696" bestFit="1" customWidth="1"/>
    <col min="10251" max="10253" width="10.85546875" style="696" bestFit="1" customWidth="1"/>
    <col min="10254" max="10254" width="13" style="696" bestFit="1" customWidth="1"/>
    <col min="10255" max="10255" width="10.85546875" style="696" bestFit="1" customWidth="1"/>
    <col min="10256" max="10256" width="12.7109375" style="696" bestFit="1" customWidth="1"/>
    <col min="10257" max="10257" width="2.7109375" style="696" customWidth="1"/>
    <col min="10258" max="10258" width="11.7109375" style="696" bestFit="1" customWidth="1"/>
    <col min="10259" max="10496" width="8.85546875" style="696"/>
    <col min="10497" max="10497" width="1.7109375" style="696" customWidth="1"/>
    <col min="10498" max="10498" width="2.42578125" style="696" customWidth="1"/>
    <col min="10499" max="10499" width="1.7109375" style="696" customWidth="1"/>
    <col min="10500" max="10500" width="10.42578125" style="696" bestFit="1" customWidth="1"/>
    <col min="10501" max="10501" width="10.85546875" style="696" bestFit="1" customWidth="1"/>
    <col min="10502" max="10503" width="10.42578125" style="696" bestFit="1" customWidth="1"/>
    <col min="10504" max="10504" width="12.28515625" style="696" bestFit="1" customWidth="1"/>
    <col min="10505" max="10505" width="10.85546875" style="696" bestFit="1" customWidth="1"/>
    <col min="10506" max="10506" width="12.85546875" style="696" bestFit="1" customWidth="1"/>
    <col min="10507" max="10509" width="10.85546875" style="696" bestFit="1" customWidth="1"/>
    <col min="10510" max="10510" width="13" style="696" bestFit="1" customWidth="1"/>
    <col min="10511" max="10511" width="10.85546875" style="696" bestFit="1" customWidth="1"/>
    <col min="10512" max="10512" width="12.7109375" style="696" bestFit="1" customWidth="1"/>
    <col min="10513" max="10513" width="2.7109375" style="696" customWidth="1"/>
    <col min="10514" max="10514" width="11.7109375" style="696" bestFit="1" customWidth="1"/>
    <col min="10515" max="10752" width="8.85546875" style="696"/>
    <col min="10753" max="10753" width="1.7109375" style="696" customWidth="1"/>
    <col min="10754" max="10754" width="2.42578125" style="696" customWidth="1"/>
    <col min="10755" max="10755" width="1.7109375" style="696" customWidth="1"/>
    <col min="10756" max="10756" width="10.42578125" style="696" bestFit="1" customWidth="1"/>
    <col min="10757" max="10757" width="10.85546875" style="696" bestFit="1" customWidth="1"/>
    <col min="10758" max="10759" width="10.42578125" style="696" bestFit="1" customWidth="1"/>
    <col min="10760" max="10760" width="12.28515625" style="696" bestFit="1" customWidth="1"/>
    <col min="10761" max="10761" width="10.85546875" style="696" bestFit="1" customWidth="1"/>
    <col min="10762" max="10762" width="12.85546875" style="696" bestFit="1" customWidth="1"/>
    <col min="10763" max="10765" width="10.85546875" style="696" bestFit="1" customWidth="1"/>
    <col min="10766" max="10766" width="13" style="696" bestFit="1" customWidth="1"/>
    <col min="10767" max="10767" width="10.85546875" style="696" bestFit="1" customWidth="1"/>
    <col min="10768" max="10768" width="12.7109375" style="696" bestFit="1" customWidth="1"/>
    <col min="10769" max="10769" width="2.7109375" style="696" customWidth="1"/>
    <col min="10770" max="10770" width="11.7109375" style="696" bestFit="1" customWidth="1"/>
    <col min="10771" max="11008" width="8.85546875" style="696"/>
    <col min="11009" max="11009" width="1.7109375" style="696" customWidth="1"/>
    <col min="11010" max="11010" width="2.42578125" style="696" customWidth="1"/>
    <col min="11011" max="11011" width="1.7109375" style="696" customWidth="1"/>
    <col min="11012" max="11012" width="10.42578125" style="696" bestFit="1" customWidth="1"/>
    <col min="11013" max="11013" width="10.85546875" style="696" bestFit="1" customWidth="1"/>
    <col min="11014" max="11015" width="10.42578125" style="696" bestFit="1" customWidth="1"/>
    <col min="11016" max="11016" width="12.28515625" style="696" bestFit="1" customWidth="1"/>
    <col min="11017" max="11017" width="10.85546875" style="696" bestFit="1" customWidth="1"/>
    <col min="11018" max="11018" width="12.85546875" style="696" bestFit="1" customWidth="1"/>
    <col min="11019" max="11021" width="10.85546875" style="696" bestFit="1" customWidth="1"/>
    <col min="11022" max="11022" width="13" style="696" bestFit="1" customWidth="1"/>
    <col min="11023" max="11023" width="10.85546875" style="696" bestFit="1" customWidth="1"/>
    <col min="11024" max="11024" width="12.7109375" style="696" bestFit="1" customWidth="1"/>
    <col min="11025" max="11025" width="2.7109375" style="696" customWidth="1"/>
    <col min="11026" max="11026" width="11.7109375" style="696" bestFit="1" customWidth="1"/>
    <col min="11027" max="11264" width="8.85546875" style="696"/>
    <col min="11265" max="11265" width="1.7109375" style="696" customWidth="1"/>
    <col min="11266" max="11266" width="2.42578125" style="696" customWidth="1"/>
    <col min="11267" max="11267" width="1.7109375" style="696" customWidth="1"/>
    <col min="11268" max="11268" width="10.42578125" style="696" bestFit="1" customWidth="1"/>
    <col min="11269" max="11269" width="10.85546875" style="696" bestFit="1" customWidth="1"/>
    <col min="11270" max="11271" width="10.42578125" style="696" bestFit="1" customWidth="1"/>
    <col min="11272" max="11272" width="12.28515625" style="696" bestFit="1" customWidth="1"/>
    <col min="11273" max="11273" width="10.85546875" style="696" bestFit="1" customWidth="1"/>
    <col min="11274" max="11274" width="12.85546875" style="696" bestFit="1" customWidth="1"/>
    <col min="11275" max="11277" width="10.85546875" style="696" bestFit="1" customWidth="1"/>
    <col min="11278" max="11278" width="13" style="696" bestFit="1" customWidth="1"/>
    <col min="11279" max="11279" width="10.85546875" style="696" bestFit="1" customWidth="1"/>
    <col min="11280" max="11280" width="12.7109375" style="696" bestFit="1" customWidth="1"/>
    <col min="11281" max="11281" width="2.7109375" style="696" customWidth="1"/>
    <col min="11282" max="11282" width="11.7109375" style="696" bestFit="1" customWidth="1"/>
    <col min="11283" max="11520" width="8.85546875" style="696"/>
    <col min="11521" max="11521" width="1.7109375" style="696" customWidth="1"/>
    <col min="11522" max="11522" width="2.42578125" style="696" customWidth="1"/>
    <col min="11523" max="11523" width="1.7109375" style="696" customWidth="1"/>
    <col min="11524" max="11524" width="10.42578125" style="696" bestFit="1" customWidth="1"/>
    <col min="11525" max="11525" width="10.85546875" style="696" bestFit="1" customWidth="1"/>
    <col min="11526" max="11527" width="10.42578125" style="696" bestFit="1" customWidth="1"/>
    <col min="11528" max="11528" width="12.28515625" style="696" bestFit="1" customWidth="1"/>
    <col min="11529" max="11529" width="10.85546875" style="696" bestFit="1" customWidth="1"/>
    <col min="11530" max="11530" width="12.85546875" style="696" bestFit="1" customWidth="1"/>
    <col min="11531" max="11533" width="10.85546875" style="696" bestFit="1" customWidth="1"/>
    <col min="11534" max="11534" width="13" style="696" bestFit="1" customWidth="1"/>
    <col min="11535" max="11535" width="10.85546875" style="696" bestFit="1" customWidth="1"/>
    <col min="11536" max="11536" width="12.7109375" style="696" bestFit="1" customWidth="1"/>
    <col min="11537" max="11537" width="2.7109375" style="696" customWidth="1"/>
    <col min="11538" max="11538" width="11.7109375" style="696" bestFit="1" customWidth="1"/>
    <col min="11539" max="11776" width="8.85546875" style="696"/>
    <col min="11777" max="11777" width="1.7109375" style="696" customWidth="1"/>
    <col min="11778" max="11778" width="2.42578125" style="696" customWidth="1"/>
    <col min="11779" max="11779" width="1.7109375" style="696" customWidth="1"/>
    <col min="11780" max="11780" width="10.42578125" style="696" bestFit="1" customWidth="1"/>
    <col min="11781" max="11781" width="10.85546875" style="696" bestFit="1" customWidth="1"/>
    <col min="11782" max="11783" width="10.42578125" style="696" bestFit="1" customWidth="1"/>
    <col min="11784" max="11784" width="12.28515625" style="696" bestFit="1" customWidth="1"/>
    <col min="11785" max="11785" width="10.85546875" style="696" bestFit="1" customWidth="1"/>
    <col min="11786" max="11786" width="12.85546875" style="696" bestFit="1" customWidth="1"/>
    <col min="11787" max="11789" width="10.85546875" style="696" bestFit="1" customWidth="1"/>
    <col min="11790" max="11790" width="13" style="696" bestFit="1" customWidth="1"/>
    <col min="11791" max="11791" width="10.85546875" style="696" bestFit="1" customWidth="1"/>
    <col min="11792" max="11792" width="12.7109375" style="696" bestFit="1" customWidth="1"/>
    <col min="11793" max="11793" width="2.7109375" style="696" customWidth="1"/>
    <col min="11794" max="11794" width="11.7109375" style="696" bestFit="1" customWidth="1"/>
    <col min="11795" max="12032" width="8.85546875" style="696"/>
    <col min="12033" max="12033" width="1.7109375" style="696" customWidth="1"/>
    <col min="12034" max="12034" width="2.42578125" style="696" customWidth="1"/>
    <col min="12035" max="12035" width="1.7109375" style="696" customWidth="1"/>
    <col min="12036" max="12036" width="10.42578125" style="696" bestFit="1" customWidth="1"/>
    <col min="12037" max="12037" width="10.85546875" style="696" bestFit="1" customWidth="1"/>
    <col min="12038" max="12039" width="10.42578125" style="696" bestFit="1" customWidth="1"/>
    <col min="12040" max="12040" width="12.28515625" style="696" bestFit="1" customWidth="1"/>
    <col min="12041" max="12041" width="10.85546875" style="696" bestFit="1" customWidth="1"/>
    <col min="12042" max="12042" width="12.85546875" style="696" bestFit="1" customWidth="1"/>
    <col min="12043" max="12045" width="10.85546875" style="696" bestFit="1" customWidth="1"/>
    <col min="12046" max="12046" width="13" style="696" bestFit="1" customWidth="1"/>
    <col min="12047" max="12047" width="10.85546875" style="696" bestFit="1" customWidth="1"/>
    <col min="12048" max="12048" width="12.7109375" style="696" bestFit="1" customWidth="1"/>
    <col min="12049" max="12049" width="2.7109375" style="696" customWidth="1"/>
    <col min="12050" max="12050" width="11.7109375" style="696" bestFit="1" customWidth="1"/>
    <col min="12051" max="12288" width="8.85546875" style="696"/>
    <col min="12289" max="12289" width="1.7109375" style="696" customWidth="1"/>
    <col min="12290" max="12290" width="2.42578125" style="696" customWidth="1"/>
    <col min="12291" max="12291" width="1.7109375" style="696" customWidth="1"/>
    <col min="12292" max="12292" width="10.42578125" style="696" bestFit="1" customWidth="1"/>
    <col min="12293" max="12293" width="10.85546875" style="696" bestFit="1" customWidth="1"/>
    <col min="12294" max="12295" width="10.42578125" style="696" bestFit="1" customWidth="1"/>
    <col min="12296" max="12296" width="12.28515625" style="696" bestFit="1" customWidth="1"/>
    <col min="12297" max="12297" width="10.85546875" style="696" bestFit="1" customWidth="1"/>
    <col min="12298" max="12298" width="12.85546875" style="696" bestFit="1" customWidth="1"/>
    <col min="12299" max="12301" width="10.85546875" style="696" bestFit="1" customWidth="1"/>
    <col min="12302" max="12302" width="13" style="696" bestFit="1" customWidth="1"/>
    <col min="12303" max="12303" width="10.85546875" style="696" bestFit="1" customWidth="1"/>
    <col min="12304" max="12304" width="12.7109375" style="696" bestFit="1" customWidth="1"/>
    <col min="12305" max="12305" width="2.7109375" style="696" customWidth="1"/>
    <col min="12306" max="12306" width="11.7109375" style="696" bestFit="1" customWidth="1"/>
    <col min="12307" max="12544" width="8.85546875" style="696"/>
    <col min="12545" max="12545" width="1.7109375" style="696" customWidth="1"/>
    <col min="12546" max="12546" width="2.42578125" style="696" customWidth="1"/>
    <col min="12547" max="12547" width="1.7109375" style="696" customWidth="1"/>
    <col min="12548" max="12548" width="10.42578125" style="696" bestFit="1" customWidth="1"/>
    <col min="12549" max="12549" width="10.85546875" style="696" bestFit="1" customWidth="1"/>
    <col min="12550" max="12551" width="10.42578125" style="696" bestFit="1" customWidth="1"/>
    <col min="12552" max="12552" width="12.28515625" style="696" bestFit="1" customWidth="1"/>
    <col min="12553" max="12553" width="10.85546875" style="696" bestFit="1" customWidth="1"/>
    <col min="12554" max="12554" width="12.85546875" style="696" bestFit="1" customWidth="1"/>
    <col min="12555" max="12557" width="10.85546875" style="696" bestFit="1" customWidth="1"/>
    <col min="12558" max="12558" width="13" style="696" bestFit="1" customWidth="1"/>
    <col min="12559" max="12559" width="10.85546875" style="696" bestFit="1" customWidth="1"/>
    <col min="12560" max="12560" width="12.7109375" style="696" bestFit="1" customWidth="1"/>
    <col min="12561" max="12561" width="2.7109375" style="696" customWidth="1"/>
    <col min="12562" max="12562" width="11.7109375" style="696" bestFit="1" customWidth="1"/>
    <col min="12563" max="12800" width="8.85546875" style="696"/>
    <col min="12801" max="12801" width="1.7109375" style="696" customWidth="1"/>
    <col min="12802" max="12802" width="2.42578125" style="696" customWidth="1"/>
    <col min="12803" max="12803" width="1.7109375" style="696" customWidth="1"/>
    <col min="12804" max="12804" width="10.42578125" style="696" bestFit="1" customWidth="1"/>
    <col min="12805" max="12805" width="10.85546875" style="696" bestFit="1" customWidth="1"/>
    <col min="12806" max="12807" width="10.42578125" style="696" bestFit="1" customWidth="1"/>
    <col min="12808" max="12808" width="12.28515625" style="696" bestFit="1" customWidth="1"/>
    <col min="12809" max="12809" width="10.85546875" style="696" bestFit="1" customWidth="1"/>
    <col min="12810" max="12810" width="12.85546875" style="696" bestFit="1" customWidth="1"/>
    <col min="12811" max="12813" width="10.85546875" style="696" bestFit="1" customWidth="1"/>
    <col min="12814" max="12814" width="13" style="696" bestFit="1" customWidth="1"/>
    <col min="12815" max="12815" width="10.85546875" style="696" bestFit="1" customWidth="1"/>
    <col min="12816" max="12816" width="12.7109375" style="696" bestFit="1" customWidth="1"/>
    <col min="12817" max="12817" width="2.7109375" style="696" customWidth="1"/>
    <col min="12818" max="12818" width="11.7109375" style="696" bestFit="1" customWidth="1"/>
    <col min="12819" max="13056" width="8.85546875" style="696"/>
    <col min="13057" max="13057" width="1.7109375" style="696" customWidth="1"/>
    <col min="13058" max="13058" width="2.42578125" style="696" customWidth="1"/>
    <col min="13059" max="13059" width="1.7109375" style="696" customWidth="1"/>
    <col min="13060" max="13060" width="10.42578125" style="696" bestFit="1" customWidth="1"/>
    <col min="13061" max="13061" width="10.85546875" style="696" bestFit="1" customWidth="1"/>
    <col min="13062" max="13063" width="10.42578125" style="696" bestFit="1" customWidth="1"/>
    <col min="13064" max="13064" width="12.28515625" style="696" bestFit="1" customWidth="1"/>
    <col min="13065" max="13065" width="10.85546875" style="696" bestFit="1" customWidth="1"/>
    <col min="13066" max="13066" width="12.85546875" style="696" bestFit="1" customWidth="1"/>
    <col min="13067" max="13069" width="10.85546875" style="696" bestFit="1" customWidth="1"/>
    <col min="13070" max="13070" width="13" style="696" bestFit="1" customWidth="1"/>
    <col min="13071" max="13071" width="10.85546875" style="696" bestFit="1" customWidth="1"/>
    <col min="13072" max="13072" width="12.7109375" style="696" bestFit="1" customWidth="1"/>
    <col min="13073" max="13073" width="2.7109375" style="696" customWidth="1"/>
    <col min="13074" max="13074" width="11.7109375" style="696" bestFit="1" customWidth="1"/>
    <col min="13075" max="13312" width="8.85546875" style="696"/>
    <col min="13313" max="13313" width="1.7109375" style="696" customWidth="1"/>
    <col min="13314" max="13314" width="2.42578125" style="696" customWidth="1"/>
    <col min="13315" max="13315" width="1.7109375" style="696" customWidth="1"/>
    <col min="13316" max="13316" width="10.42578125" style="696" bestFit="1" customWidth="1"/>
    <col min="13317" max="13317" width="10.85546875" style="696" bestFit="1" customWidth="1"/>
    <col min="13318" max="13319" width="10.42578125" style="696" bestFit="1" customWidth="1"/>
    <col min="13320" max="13320" width="12.28515625" style="696" bestFit="1" customWidth="1"/>
    <col min="13321" max="13321" width="10.85546875" style="696" bestFit="1" customWidth="1"/>
    <col min="13322" max="13322" width="12.85546875" style="696" bestFit="1" customWidth="1"/>
    <col min="13323" max="13325" width="10.85546875" style="696" bestFit="1" customWidth="1"/>
    <col min="13326" max="13326" width="13" style="696" bestFit="1" customWidth="1"/>
    <col min="13327" max="13327" width="10.85546875" style="696" bestFit="1" customWidth="1"/>
    <col min="13328" max="13328" width="12.7109375" style="696" bestFit="1" customWidth="1"/>
    <col min="13329" max="13329" width="2.7109375" style="696" customWidth="1"/>
    <col min="13330" max="13330" width="11.7109375" style="696" bestFit="1" customWidth="1"/>
    <col min="13331" max="13568" width="8.85546875" style="696"/>
    <col min="13569" max="13569" width="1.7109375" style="696" customWidth="1"/>
    <col min="13570" max="13570" width="2.42578125" style="696" customWidth="1"/>
    <col min="13571" max="13571" width="1.7109375" style="696" customWidth="1"/>
    <col min="13572" max="13572" width="10.42578125" style="696" bestFit="1" customWidth="1"/>
    <col min="13573" max="13573" width="10.85546875" style="696" bestFit="1" customWidth="1"/>
    <col min="13574" max="13575" width="10.42578125" style="696" bestFit="1" customWidth="1"/>
    <col min="13576" max="13576" width="12.28515625" style="696" bestFit="1" customWidth="1"/>
    <col min="13577" max="13577" width="10.85546875" style="696" bestFit="1" customWidth="1"/>
    <col min="13578" max="13578" width="12.85546875" style="696" bestFit="1" customWidth="1"/>
    <col min="13579" max="13581" width="10.85546875" style="696" bestFit="1" customWidth="1"/>
    <col min="13582" max="13582" width="13" style="696" bestFit="1" customWidth="1"/>
    <col min="13583" max="13583" width="10.85546875" style="696" bestFit="1" customWidth="1"/>
    <col min="13584" max="13584" width="12.7109375" style="696" bestFit="1" customWidth="1"/>
    <col min="13585" max="13585" width="2.7109375" style="696" customWidth="1"/>
    <col min="13586" max="13586" width="11.7109375" style="696" bestFit="1" customWidth="1"/>
    <col min="13587" max="13824" width="8.85546875" style="696"/>
    <col min="13825" max="13825" width="1.7109375" style="696" customWidth="1"/>
    <col min="13826" max="13826" width="2.42578125" style="696" customWidth="1"/>
    <col min="13827" max="13827" width="1.7109375" style="696" customWidth="1"/>
    <col min="13828" max="13828" width="10.42578125" style="696" bestFit="1" customWidth="1"/>
    <col min="13829" max="13829" width="10.85546875" style="696" bestFit="1" customWidth="1"/>
    <col min="13830" max="13831" width="10.42578125" style="696" bestFit="1" customWidth="1"/>
    <col min="13832" max="13832" width="12.28515625" style="696" bestFit="1" customWidth="1"/>
    <col min="13833" max="13833" width="10.85546875" style="696" bestFit="1" customWidth="1"/>
    <col min="13834" max="13834" width="12.85546875" style="696" bestFit="1" customWidth="1"/>
    <col min="13835" max="13837" width="10.85546875" style="696" bestFit="1" customWidth="1"/>
    <col min="13838" max="13838" width="13" style="696" bestFit="1" customWidth="1"/>
    <col min="13839" max="13839" width="10.85546875" style="696" bestFit="1" customWidth="1"/>
    <col min="13840" max="13840" width="12.7109375" style="696" bestFit="1" customWidth="1"/>
    <col min="13841" max="13841" width="2.7109375" style="696" customWidth="1"/>
    <col min="13842" max="13842" width="11.7109375" style="696" bestFit="1" customWidth="1"/>
    <col min="13843" max="14080" width="8.85546875" style="696"/>
    <col min="14081" max="14081" width="1.7109375" style="696" customWidth="1"/>
    <col min="14082" max="14082" width="2.42578125" style="696" customWidth="1"/>
    <col min="14083" max="14083" width="1.7109375" style="696" customWidth="1"/>
    <col min="14084" max="14084" width="10.42578125" style="696" bestFit="1" customWidth="1"/>
    <col min="14085" max="14085" width="10.85546875" style="696" bestFit="1" customWidth="1"/>
    <col min="14086" max="14087" width="10.42578125" style="696" bestFit="1" customWidth="1"/>
    <col min="14088" max="14088" width="12.28515625" style="696" bestFit="1" customWidth="1"/>
    <col min="14089" max="14089" width="10.85546875" style="696" bestFit="1" customWidth="1"/>
    <col min="14090" max="14090" width="12.85546875" style="696" bestFit="1" customWidth="1"/>
    <col min="14091" max="14093" width="10.85546875" style="696" bestFit="1" customWidth="1"/>
    <col min="14094" max="14094" width="13" style="696" bestFit="1" customWidth="1"/>
    <col min="14095" max="14095" width="10.85546875" style="696" bestFit="1" customWidth="1"/>
    <col min="14096" max="14096" width="12.7109375" style="696" bestFit="1" customWidth="1"/>
    <col min="14097" max="14097" width="2.7109375" style="696" customWidth="1"/>
    <col min="14098" max="14098" width="11.7109375" style="696" bestFit="1" customWidth="1"/>
    <col min="14099" max="14336" width="8.85546875" style="696"/>
    <col min="14337" max="14337" width="1.7109375" style="696" customWidth="1"/>
    <col min="14338" max="14338" width="2.42578125" style="696" customWidth="1"/>
    <col min="14339" max="14339" width="1.7109375" style="696" customWidth="1"/>
    <col min="14340" max="14340" width="10.42578125" style="696" bestFit="1" customWidth="1"/>
    <col min="14341" max="14341" width="10.85546875" style="696" bestFit="1" customWidth="1"/>
    <col min="14342" max="14343" width="10.42578125" style="696" bestFit="1" customWidth="1"/>
    <col min="14344" max="14344" width="12.28515625" style="696" bestFit="1" customWidth="1"/>
    <col min="14345" max="14345" width="10.85546875" style="696" bestFit="1" customWidth="1"/>
    <col min="14346" max="14346" width="12.85546875" style="696" bestFit="1" customWidth="1"/>
    <col min="14347" max="14349" width="10.85546875" style="696" bestFit="1" customWidth="1"/>
    <col min="14350" max="14350" width="13" style="696" bestFit="1" customWidth="1"/>
    <col min="14351" max="14351" width="10.85546875" style="696" bestFit="1" customWidth="1"/>
    <col min="14352" max="14352" width="12.7109375" style="696" bestFit="1" customWidth="1"/>
    <col min="14353" max="14353" width="2.7109375" style="696" customWidth="1"/>
    <col min="14354" max="14354" width="11.7109375" style="696" bestFit="1" customWidth="1"/>
    <col min="14355" max="14592" width="8.85546875" style="696"/>
    <col min="14593" max="14593" width="1.7109375" style="696" customWidth="1"/>
    <col min="14594" max="14594" width="2.42578125" style="696" customWidth="1"/>
    <col min="14595" max="14595" width="1.7109375" style="696" customWidth="1"/>
    <col min="14596" max="14596" width="10.42578125" style="696" bestFit="1" customWidth="1"/>
    <col min="14597" max="14597" width="10.85546875" style="696" bestFit="1" customWidth="1"/>
    <col min="14598" max="14599" width="10.42578125" style="696" bestFit="1" customWidth="1"/>
    <col min="14600" max="14600" width="12.28515625" style="696" bestFit="1" customWidth="1"/>
    <col min="14601" max="14601" width="10.85546875" style="696" bestFit="1" customWidth="1"/>
    <col min="14602" max="14602" width="12.85546875" style="696" bestFit="1" customWidth="1"/>
    <col min="14603" max="14605" width="10.85546875" style="696" bestFit="1" customWidth="1"/>
    <col min="14606" max="14606" width="13" style="696" bestFit="1" customWidth="1"/>
    <col min="14607" max="14607" width="10.85546875" style="696" bestFit="1" customWidth="1"/>
    <col min="14608" max="14608" width="12.7109375" style="696" bestFit="1" customWidth="1"/>
    <col min="14609" max="14609" width="2.7109375" style="696" customWidth="1"/>
    <col min="14610" max="14610" width="11.7109375" style="696" bestFit="1" customWidth="1"/>
    <col min="14611" max="14848" width="8.85546875" style="696"/>
    <col min="14849" max="14849" width="1.7109375" style="696" customWidth="1"/>
    <col min="14850" max="14850" width="2.42578125" style="696" customWidth="1"/>
    <col min="14851" max="14851" width="1.7109375" style="696" customWidth="1"/>
    <col min="14852" max="14852" width="10.42578125" style="696" bestFit="1" customWidth="1"/>
    <col min="14853" max="14853" width="10.85546875" style="696" bestFit="1" customWidth="1"/>
    <col min="14854" max="14855" width="10.42578125" style="696" bestFit="1" customWidth="1"/>
    <col min="14856" max="14856" width="12.28515625" style="696" bestFit="1" customWidth="1"/>
    <col min="14857" max="14857" width="10.85546875" style="696" bestFit="1" customWidth="1"/>
    <col min="14858" max="14858" width="12.85546875" style="696" bestFit="1" customWidth="1"/>
    <col min="14859" max="14861" width="10.85546875" style="696" bestFit="1" customWidth="1"/>
    <col min="14862" max="14862" width="13" style="696" bestFit="1" customWidth="1"/>
    <col min="14863" max="14863" width="10.85546875" style="696" bestFit="1" customWidth="1"/>
    <col min="14864" max="14864" width="12.7109375" style="696" bestFit="1" customWidth="1"/>
    <col min="14865" max="14865" width="2.7109375" style="696" customWidth="1"/>
    <col min="14866" max="14866" width="11.7109375" style="696" bestFit="1" customWidth="1"/>
    <col min="14867" max="15104" width="8.85546875" style="696"/>
    <col min="15105" max="15105" width="1.7109375" style="696" customWidth="1"/>
    <col min="15106" max="15106" width="2.42578125" style="696" customWidth="1"/>
    <col min="15107" max="15107" width="1.7109375" style="696" customWidth="1"/>
    <col min="15108" max="15108" width="10.42578125" style="696" bestFit="1" customWidth="1"/>
    <col min="15109" max="15109" width="10.85546875" style="696" bestFit="1" customWidth="1"/>
    <col min="15110" max="15111" width="10.42578125" style="696" bestFit="1" customWidth="1"/>
    <col min="15112" max="15112" width="12.28515625" style="696" bestFit="1" customWidth="1"/>
    <col min="15113" max="15113" width="10.85546875" style="696" bestFit="1" customWidth="1"/>
    <col min="15114" max="15114" width="12.85546875" style="696" bestFit="1" customWidth="1"/>
    <col min="15115" max="15117" width="10.85546875" style="696" bestFit="1" customWidth="1"/>
    <col min="15118" max="15118" width="13" style="696" bestFit="1" customWidth="1"/>
    <col min="15119" max="15119" width="10.85546875" style="696" bestFit="1" customWidth="1"/>
    <col min="15120" max="15120" width="12.7109375" style="696" bestFit="1" customWidth="1"/>
    <col min="15121" max="15121" width="2.7109375" style="696" customWidth="1"/>
    <col min="15122" max="15122" width="11.7109375" style="696" bestFit="1" customWidth="1"/>
    <col min="15123" max="15360" width="8.85546875" style="696"/>
    <col min="15361" max="15361" width="1.7109375" style="696" customWidth="1"/>
    <col min="15362" max="15362" width="2.42578125" style="696" customWidth="1"/>
    <col min="15363" max="15363" width="1.7109375" style="696" customWidth="1"/>
    <col min="15364" max="15364" width="10.42578125" style="696" bestFit="1" customWidth="1"/>
    <col min="15365" max="15365" width="10.85546875" style="696" bestFit="1" customWidth="1"/>
    <col min="15366" max="15367" width="10.42578125" style="696" bestFit="1" customWidth="1"/>
    <col min="15368" max="15368" width="12.28515625" style="696" bestFit="1" customWidth="1"/>
    <col min="15369" max="15369" width="10.85546875" style="696" bestFit="1" customWidth="1"/>
    <col min="15370" max="15370" width="12.85546875" style="696" bestFit="1" customWidth="1"/>
    <col min="15371" max="15373" width="10.85546875" style="696" bestFit="1" customWidth="1"/>
    <col min="15374" max="15374" width="13" style="696" bestFit="1" customWidth="1"/>
    <col min="15375" max="15375" width="10.85546875" style="696" bestFit="1" customWidth="1"/>
    <col min="15376" max="15376" width="12.7109375" style="696" bestFit="1" customWidth="1"/>
    <col min="15377" max="15377" width="2.7109375" style="696" customWidth="1"/>
    <col min="15378" max="15378" width="11.7109375" style="696" bestFit="1" customWidth="1"/>
    <col min="15379" max="15616" width="8.85546875" style="696"/>
    <col min="15617" max="15617" width="1.7109375" style="696" customWidth="1"/>
    <col min="15618" max="15618" width="2.42578125" style="696" customWidth="1"/>
    <col min="15619" max="15619" width="1.7109375" style="696" customWidth="1"/>
    <col min="15620" max="15620" width="10.42578125" style="696" bestFit="1" customWidth="1"/>
    <col min="15621" max="15621" width="10.85546875" style="696" bestFit="1" customWidth="1"/>
    <col min="15622" max="15623" width="10.42578125" style="696" bestFit="1" customWidth="1"/>
    <col min="15624" max="15624" width="12.28515625" style="696" bestFit="1" customWidth="1"/>
    <col min="15625" max="15625" width="10.85546875" style="696" bestFit="1" customWidth="1"/>
    <col min="15626" max="15626" width="12.85546875" style="696" bestFit="1" customWidth="1"/>
    <col min="15627" max="15629" width="10.85546875" style="696" bestFit="1" customWidth="1"/>
    <col min="15630" max="15630" width="13" style="696" bestFit="1" customWidth="1"/>
    <col min="15631" max="15631" width="10.85546875" style="696" bestFit="1" customWidth="1"/>
    <col min="15632" max="15632" width="12.7109375" style="696" bestFit="1" customWidth="1"/>
    <col min="15633" max="15633" width="2.7109375" style="696" customWidth="1"/>
    <col min="15634" max="15634" width="11.7109375" style="696" bestFit="1" customWidth="1"/>
    <col min="15635" max="15872" width="8.85546875" style="696"/>
    <col min="15873" max="15873" width="1.7109375" style="696" customWidth="1"/>
    <col min="15874" max="15874" width="2.42578125" style="696" customWidth="1"/>
    <col min="15875" max="15875" width="1.7109375" style="696" customWidth="1"/>
    <col min="15876" max="15876" width="10.42578125" style="696" bestFit="1" customWidth="1"/>
    <col min="15877" max="15877" width="10.85546875" style="696" bestFit="1" customWidth="1"/>
    <col min="15878" max="15879" width="10.42578125" style="696" bestFit="1" customWidth="1"/>
    <col min="15880" max="15880" width="12.28515625" style="696" bestFit="1" customWidth="1"/>
    <col min="15881" max="15881" width="10.85546875" style="696" bestFit="1" customWidth="1"/>
    <col min="15882" max="15882" width="12.85546875" style="696" bestFit="1" customWidth="1"/>
    <col min="15883" max="15885" width="10.85546875" style="696" bestFit="1" customWidth="1"/>
    <col min="15886" max="15886" width="13" style="696" bestFit="1" customWidth="1"/>
    <col min="15887" max="15887" width="10.85546875" style="696" bestFit="1" customWidth="1"/>
    <col min="15888" max="15888" width="12.7109375" style="696" bestFit="1" customWidth="1"/>
    <col min="15889" max="15889" width="2.7109375" style="696" customWidth="1"/>
    <col min="15890" max="15890" width="11.7109375" style="696" bestFit="1" customWidth="1"/>
    <col min="15891" max="16128" width="8.85546875" style="696"/>
    <col min="16129" max="16129" width="1.7109375" style="696" customWidth="1"/>
    <col min="16130" max="16130" width="2.42578125" style="696" customWidth="1"/>
    <col min="16131" max="16131" width="1.7109375" style="696" customWidth="1"/>
    <col min="16132" max="16132" width="10.42578125" style="696" bestFit="1" customWidth="1"/>
    <col min="16133" max="16133" width="10.85546875" style="696" bestFit="1" customWidth="1"/>
    <col min="16134" max="16135" width="10.42578125" style="696" bestFit="1" customWidth="1"/>
    <col min="16136" max="16136" width="12.28515625" style="696" bestFit="1" customWidth="1"/>
    <col min="16137" max="16137" width="10.85546875" style="696" bestFit="1" customWidth="1"/>
    <col min="16138" max="16138" width="12.85546875" style="696" bestFit="1" customWidth="1"/>
    <col min="16139" max="16141" width="10.85546875" style="696" bestFit="1" customWidth="1"/>
    <col min="16142" max="16142" width="13" style="696" bestFit="1" customWidth="1"/>
    <col min="16143" max="16143" width="10.85546875" style="696" bestFit="1" customWidth="1"/>
    <col min="16144" max="16144" width="12.7109375" style="696" bestFit="1" customWidth="1"/>
    <col min="16145" max="16145" width="2.7109375" style="696" customWidth="1"/>
    <col min="16146" max="16146" width="11.7109375" style="696" bestFit="1" customWidth="1"/>
    <col min="16147" max="16384" width="8.85546875" style="696"/>
  </cols>
  <sheetData>
    <row r="1" spans="1:18" s="656" customFormat="1" ht="18.75" thickBot="1">
      <c r="A1" s="642"/>
      <c r="B1" s="653" t="str">
        <f>"Discounted Cash Flow Analysis for "&amp;name</f>
        <v>Discounted Cash Flow Analysis for McCormick &amp; Co. Inc.</v>
      </c>
      <c r="C1" s="653"/>
      <c r="D1" s="654"/>
      <c r="E1" s="655"/>
      <c r="F1" s="655"/>
      <c r="G1" s="655"/>
      <c r="H1" s="655"/>
      <c r="I1" s="655"/>
      <c r="J1" s="655"/>
      <c r="K1" s="655"/>
      <c r="L1" s="655"/>
      <c r="M1" s="655"/>
      <c r="N1" s="655"/>
      <c r="O1" s="655"/>
      <c r="P1" s="655"/>
      <c r="Q1" s="655"/>
      <c r="R1" s="655"/>
    </row>
    <row r="2" spans="1:18" s="661" customFormat="1" ht="12.75">
      <c r="A2" s="642"/>
      <c r="B2" s="657" t="str">
        <f>Subheader</f>
        <v>Dollars in millions, except per share data</v>
      </c>
      <c r="C2" s="657"/>
      <c r="D2" s="658"/>
      <c r="E2" s="659"/>
      <c r="F2" s="659"/>
      <c r="G2" s="659"/>
      <c r="H2" s="659"/>
      <c r="I2" s="659"/>
      <c r="J2" s="659"/>
      <c r="K2" s="659"/>
      <c r="L2" s="659"/>
      <c r="M2" s="659"/>
      <c r="N2" s="659"/>
      <c r="O2" s="660"/>
      <c r="P2" s="659"/>
      <c r="Q2" s="659"/>
      <c r="R2" s="659"/>
    </row>
    <row r="3" spans="1:18" s="661" customFormat="1" ht="12.75">
      <c r="A3" s="642"/>
      <c r="B3" s="662"/>
      <c r="C3" s="662"/>
      <c r="D3" s="663"/>
      <c r="E3" s="664"/>
      <c r="F3" s="664"/>
      <c r="G3" s="664"/>
      <c r="H3" s="664"/>
      <c r="I3" s="664"/>
      <c r="J3" s="664"/>
      <c r="K3" s="664"/>
      <c r="L3" s="664"/>
      <c r="M3" s="664"/>
      <c r="N3" s="664"/>
      <c r="P3" s="664"/>
      <c r="Q3" s="664"/>
      <c r="R3" s="664"/>
    </row>
    <row r="4" spans="1:18" s="665" customFormat="1" ht="12.75">
      <c r="A4" s="642"/>
      <c r="I4" s="666" t="str">
        <f>is!I4</f>
        <v>Historical Year Ending November 30,</v>
      </c>
      <c r="J4" s="667"/>
      <c r="K4" s="667"/>
      <c r="L4" s="668" t="str">
        <f>is!L4</f>
        <v>Projected Year Ending November 30,</v>
      </c>
      <c r="M4" s="669"/>
      <c r="N4" s="669"/>
      <c r="O4" s="669"/>
      <c r="P4" s="670"/>
      <c r="R4" s="671" t="str">
        <f>K5&amp;" - "&amp;P5</f>
        <v>2013 - 2018</v>
      </c>
    </row>
    <row r="5" spans="1:18" s="665" customFormat="1" ht="12.75">
      <c r="A5" s="642"/>
      <c r="I5" s="672">
        <f>is!I5</f>
        <v>2011</v>
      </c>
      <c r="J5" s="672">
        <f>is!J5</f>
        <v>2012</v>
      </c>
      <c r="K5" s="672">
        <f>is!K5</f>
        <v>2013</v>
      </c>
      <c r="L5" s="672">
        <f>is!L5</f>
        <v>2014</v>
      </c>
      <c r="M5" s="672">
        <f>is!M5</f>
        <v>2015</v>
      </c>
      <c r="N5" s="672">
        <f>is!N5</f>
        <v>2016</v>
      </c>
      <c r="O5" s="672">
        <f>is!O5</f>
        <v>2017</v>
      </c>
      <c r="P5" s="672">
        <f>is!P5</f>
        <v>2018</v>
      </c>
      <c r="R5" s="673" t="s">
        <v>82</v>
      </c>
    </row>
    <row r="6" spans="1:18" s="665" customFormat="1" ht="5.25" customHeight="1">
      <c r="A6" s="642"/>
      <c r="R6" s="674"/>
    </row>
    <row r="7" spans="1:18" s="665" customFormat="1" ht="12.75">
      <c r="A7" s="642" t="s">
        <v>43</v>
      </c>
      <c r="B7" s="675" t="s">
        <v>83</v>
      </c>
      <c r="C7" s="675"/>
      <c r="D7" s="675"/>
      <c r="I7" s="676">
        <f>is!I7</f>
        <v>3697.6</v>
      </c>
      <c r="J7" s="676">
        <f>is!J7</f>
        <v>4014.2</v>
      </c>
      <c r="K7" s="676">
        <f>is!K7</f>
        <v>4123.3999999999996</v>
      </c>
      <c r="L7" s="676">
        <f>is!L7</f>
        <v>4288.3359999999993</v>
      </c>
      <c r="M7" s="676">
        <f>is!M7</f>
        <v>4472.7344479999992</v>
      </c>
      <c r="N7" s="676">
        <f>is!N7</f>
        <v>4678.4802326079998</v>
      </c>
      <c r="O7" s="676">
        <f>is!O7</f>
        <v>4907.7257640057915</v>
      </c>
      <c r="P7" s="676">
        <f>is!P7</f>
        <v>5162.9275037340931</v>
      </c>
      <c r="R7" s="677">
        <f>RATE(P$5-K$5,0,-K7,P7)</f>
        <v>4.5991395708611792E-2</v>
      </c>
    </row>
    <row r="8" spans="1:18" s="665" customFormat="1" ht="5.25" customHeight="1">
      <c r="A8" s="642"/>
      <c r="B8" s="675"/>
      <c r="C8" s="675"/>
      <c r="D8" s="675"/>
      <c r="I8" s="678"/>
      <c r="J8" s="678"/>
      <c r="K8" s="678"/>
      <c r="L8" s="678"/>
      <c r="M8" s="678"/>
      <c r="N8" s="678"/>
      <c r="O8" s="678"/>
      <c r="P8" s="678"/>
      <c r="R8" s="677"/>
    </row>
    <row r="9" spans="1:18" s="665" customFormat="1" ht="12.75">
      <c r="A9" s="642"/>
      <c r="B9" s="675" t="s">
        <v>85</v>
      </c>
      <c r="C9" s="675"/>
      <c r="D9" s="675"/>
      <c r="I9" s="678">
        <f>is!I12</f>
        <v>649.49999999999989</v>
      </c>
      <c r="J9" s="678">
        <f>is!J12</f>
        <v>682.79999999999973</v>
      </c>
      <c r="K9" s="678">
        <f>is!K12</f>
        <v>701.09999999999991</v>
      </c>
      <c r="L9" s="678">
        <f>is!L12</f>
        <v>733.30545600000005</v>
      </c>
      <c r="M9" s="678">
        <f>is!M12</f>
        <v>778.2557939520002</v>
      </c>
      <c r="N9" s="678">
        <f>is!N12</f>
        <v>828.09100117161597</v>
      </c>
      <c r="O9" s="678">
        <f>is!O12</f>
        <v>883.39063752104289</v>
      </c>
      <c r="P9" s="678">
        <f>is!P12</f>
        <v>944.81573318333949</v>
      </c>
      <c r="R9" s="677">
        <f>RATE(P$5-K$5,0,-K9,P9)</f>
        <v>6.1483945171963088E-2</v>
      </c>
    </row>
    <row r="10" spans="1:18" s="665" customFormat="1" ht="12.75">
      <c r="A10" s="642"/>
      <c r="B10" s="675" t="s">
        <v>285</v>
      </c>
      <c r="C10" s="675"/>
      <c r="D10" s="675"/>
      <c r="I10" s="678">
        <f>-is!I14</f>
        <v>-95</v>
      </c>
      <c r="J10" s="678">
        <f>-is!J14</f>
        <v>-98.5</v>
      </c>
      <c r="K10" s="678">
        <f>-is!K14</f>
        <v>-100.8</v>
      </c>
      <c r="L10" s="678">
        <f>-is!L14</f>
        <v>-109</v>
      </c>
      <c r="M10" s="678">
        <f>-is!M14</f>
        <v>-110.20817679871998</v>
      </c>
      <c r="N10" s="678">
        <f>-is!N14</f>
        <v>-120.51765079198208</v>
      </c>
      <c r="O10" s="678">
        <f>-is!O14</f>
        <v>-131.91966853647568</v>
      </c>
      <c r="P10" s="678">
        <f>-is!P14</f>
        <v>-144.5619701045546</v>
      </c>
      <c r="R10" s="677"/>
    </row>
    <row r="11" spans="1:18" s="665" customFormat="1" ht="12.75">
      <c r="A11" s="642"/>
      <c r="B11" s="675" t="s">
        <v>286</v>
      </c>
      <c r="C11" s="675"/>
      <c r="D11" s="675"/>
      <c r="I11" s="679">
        <f>-is!I15</f>
        <v>-3.3</v>
      </c>
      <c r="J11" s="678">
        <f>-is!J15</f>
        <v>-4.3</v>
      </c>
      <c r="K11" s="678">
        <f>-is!K15</f>
        <v>-5.2</v>
      </c>
      <c r="L11" s="678">
        <f>-is!L15</f>
        <v>-4</v>
      </c>
      <c r="M11" s="678">
        <f>-is!M15</f>
        <v>-4</v>
      </c>
      <c r="N11" s="678">
        <f>-is!N15</f>
        <v>-4</v>
      </c>
      <c r="O11" s="678">
        <f>-is!O15</f>
        <v>-4</v>
      </c>
      <c r="P11" s="678">
        <f>-is!P15</f>
        <v>-4</v>
      </c>
      <c r="R11" s="677"/>
    </row>
    <row r="12" spans="1:18" s="665" customFormat="1" ht="12.75">
      <c r="A12" s="642"/>
      <c r="B12" s="675" t="s">
        <v>84</v>
      </c>
      <c r="C12" s="675"/>
      <c r="D12" s="675"/>
      <c r="I12" s="680">
        <f>SUM(I9:I11)</f>
        <v>551.19999999999993</v>
      </c>
      <c r="J12" s="680">
        <f t="shared" ref="J12:P12" si="0">SUM(J9:J11)</f>
        <v>579.99999999999977</v>
      </c>
      <c r="K12" s="680">
        <f t="shared" si="0"/>
        <v>595.09999999999991</v>
      </c>
      <c r="L12" s="680">
        <f t="shared" si="0"/>
        <v>620.30545600000005</v>
      </c>
      <c r="M12" s="680">
        <f t="shared" si="0"/>
        <v>664.04761715328027</v>
      </c>
      <c r="N12" s="680">
        <f t="shared" si="0"/>
        <v>703.57335037963389</v>
      </c>
      <c r="O12" s="680">
        <f t="shared" si="0"/>
        <v>747.47096898456721</v>
      </c>
      <c r="P12" s="680">
        <f t="shared" si="0"/>
        <v>796.25376307878491</v>
      </c>
      <c r="R12" s="677">
        <f>RATE(P$5-K$5,0,-K12,P12)</f>
        <v>5.996691444085854E-2</v>
      </c>
    </row>
    <row r="13" spans="1:18" s="665" customFormat="1" ht="12.75">
      <c r="A13" s="642"/>
      <c r="B13" s="675" t="s">
        <v>287</v>
      </c>
      <c r="C13" s="675"/>
      <c r="D13" s="675"/>
      <c r="E13" s="681">
        <f>35%+1.2%-6.9%</f>
        <v>0.29299999999999998</v>
      </c>
      <c r="I13" s="682">
        <f>-I12*$E13</f>
        <v>-161.50159999999997</v>
      </c>
      <c r="J13" s="682">
        <f t="shared" ref="J13:P13" si="1">-J12*$E13</f>
        <v>-169.93999999999991</v>
      </c>
      <c r="K13" s="682">
        <f t="shared" si="1"/>
        <v>-174.36429999999996</v>
      </c>
      <c r="L13" s="682">
        <f t="shared" si="1"/>
        <v>-181.74949860800001</v>
      </c>
      <c r="M13" s="682">
        <f t="shared" si="1"/>
        <v>-194.5659518259111</v>
      </c>
      <c r="N13" s="682">
        <f t="shared" si="1"/>
        <v>-206.14699166123273</v>
      </c>
      <c r="O13" s="682">
        <f t="shared" si="1"/>
        <v>-219.00899391247819</v>
      </c>
      <c r="P13" s="682">
        <f t="shared" si="1"/>
        <v>-233.30235258208396</v>
      </c>
    </row>
    <row r="14" spans="1:18" s="665" customFormat="1" ht="12.75">
      <c r="A14" s="642" t="s">
        <v>43</v>
      </c>
      <c r="B14" s="675" t="s">
        <v>288</v>
      </c>
      <c r="C14" s="675"/>
      <c r="D14" s="675"/>
      <c r="I14" s="680">
        <f>SUM(I12:I13)</f>
        <v>389.69839999999999</v>
      </c>
      <c r="J14" s="680">
        <f t="shared" ref="J14:P14" si="2">SUM(J12:J13)</f>
        <v>410.05999999999983</v>
      </c>
      <c r="K14" s="680">
        <f t="shared" si="2"/>
        <v>420.73569999999995</v>
      </c>
      <c r="L14" s="680">
        <f t="shared" si="2"/>
        <v>438.55595739200004</v>
      </c>
      <c r="M14" s="680">
        <f t="shared" si="2"/>
        <v>469.48166532736917</v>
      </c>
      <c r="N14" s="680">
        <f t="shared" si="2"/>
        <v>497.42635871840116</v>
      </c>
      <c r="O14" s="680">
        <f t="shared" si="2"/>
        <v>528.46197507208899</v>
      </c>
      <c r="P14" s="680">
        <f t="shared" si="2"/>
        <v>562.95141049670099</v>
      </c>
    </row>
    <row r="15" spans="1:18" s="665" customFormat="1" ht="11.65" customHeight="1">
      <c r="A15" s="642"/>
      <c r="I15" s="683"/>
      <c r="J15" s="683"/>
      <c r="K15" s="684"/>
      <c r="L15" s="684"/>
      <c r="M15" s="684"/>
      <c r="N15" s="684"/>
      <c r="O15" s="684"/>
      <c r="P15" s="684"/>
    </row>
    <row r="16" spans="1:18" s="665" customFormat="1" ht="12.75">
      <c r="A16" s="642"/>
      <c r="B16" s="675" t="s">
        <v>289</v>
      </c>
      <c r="C16" s="675"/>
      <c r="D16" s="675"/>
      <c r="I16" s="684"/>
      <c r="J16" s="684"/>
      <c r="K16" s="684"/>
      <c r="L16" s="684">
        <f t="shared" ref="L16:P17" si="3">-L10</f>
        <v>109</v>
      </c>
      <c r="M16" s="684">
        <f t="shared" si="3"/>
        <v>110.20817679871998</v>
      </c>
      <c r="N16" s="684">
        <f t="shared" si="3"/>
        <v>120.51765079198208</v>
      </c>
      <c r="O16" s="684">
        <f t="shared" si="3"/>
        <v>131.91966853647568</v>
      </c>
      <c r="P16" s="684">
        <f t="shared" si="3"/>
        <v>144.5619701045546</v>
      </c>
    </row>
    <row r="17" spans="1:18" s="665" customFormat="1" ht="12.75">
      <c r="A17" s="642"/>
      <c r="B17" s="675" t="s">
        <v>290</v>
      </c>
      <c r="C17" s="675"/>
      <c r="D17" s="675"/>
      <c r="I17" s="684"/>
      <c r="J17" s="684"/>
      <c r="K17" s="684"/>
      <c r="L17" s="684">
        <f t="shared" si="3"/>
        <v>4</v>
      </c>
      <c r="M17" s="684">
        <f t="shared" si="3"/>
        <v>4</v>
      </c>
      <c r="N17" s="684">
        <f t="shared" si="3"/>
        <v>4</v>
      </c>
      <c r="O17" s="684">
        <f t="shared" si="3"/>
        <v>4</v>
      </c>
      <c r="P17" s="684">
        <f t="shared" si="3"/>
        <v>4</v>
      </c>
    </row>
    <row r="18" spans="1:18" s="665" customFormat="1" ht="12.75">
      <c r="A18" s="642"/>
      <c r="B18" s="675" t="s">
        <v>291</v>
      </c>
      <c r="C18" s="675"/>
      <c r="D18" s="675"/>
      <c r="I18" s="684"/>
      <c r="J18" s="684"/>
      <c r="K18" s="684"/>
      <c r="L18" s="685">
        <f>-dep!L8</f>
        <v>-125</v>
      </c>
      <c r="M18" s="685">
        <f>-dep!M8</f>
        <v>-125.23656454399998</v>
      </c>
      <c r="N18" s="685">
        <f>-dep!N8</f>
        <v>-130.99744651302399</v>
      </c>
      <c r="O18" s="685">
        <f>-dep!O8</f>
        <v>-137.41632139216216</v>
      </c>
      <c r="P18" s="685">
        <f>-dep!P8</f>
        <v>-144.5619701045546</v>
      </c>
    </row>
    <row r="19" spans="1:18" s="665" customFormat="1" ht="12.75">
      <c r="A19" s="642"/>
      <c r="B19" s="675" t="s">
        <v>292</v>
      </c>
      <c r="C19" s="675"/>
      <c r="D19" s="675"/>
      <c r="I19" s="684"/>
      <c r="J19" s="684"/>
      <c r="K19" s="684"/>
      <c r="L19" s="678">
        <f>-amort!L8</f>
        <v>-5</v>
      </c>
      <c r="M19" s="678">
        <f>-amort!M8</f>
        <v>-5</v>
      </c>
      <c r="N19" s="678">
        <f>-amort!N8</f>
        <v>-5</v>
      </c>
      <c r="O19" s="678">
        <f>-amort!O8</f>
        <v>-5</v>
      </c>
      <c r="P19" s="678">
        <f>-amort!P8</f>
        <v>-5</v>
      </c>
    </row>
    <row r="20" spans="1:18" s="665" customFormat="1" ht="12.75">
      <c r="A20" s="642"/>
      <c r="B20" s="675" t="s">
        <v>293</v>
      </c>
      <c r="C20" s="675"/>
      <c r="D20" s="675"/>
      <c r="E20" s="675"/>
      <c r="I20" s="684"/>
      <c r="J20" s="684"/>
      <c r="K20" s="684"/>
      <c r="L20" s="678">
        <f>workingcap!L22</f>
        <v>-12.195800046027216</v>
      </c>
      <c r="M20" s="678">
        <f>workingcap!M22</f>
        <v>-13.973769021665817</v>
      </c>
      <c r="N20" s="678">
        <f>workingcap!N22</f>
        <v>-15.791371295553972</v>
      </c>
      <c r="O20" s="678">
        <f>workingcap!O22</f>
        <v>-17.754048677086644</v>
      </c>
      <c r="P20" s="678">
        <f>workingcap!P22</f>
        <v>-19.883122511985448</v>
      </c>
    </row>
    <row r="21" spans="1:18" s="665" customFormat="1" ht="12.75">
      <c r="A21" s="642"/>
      <c r="B21" s="675" t="s">
        <v>294</v>
      </c>
      <c r="C21" s="675"/>
      <c r="D21" s="675"/>
      <c r="I21" s="682"/>
      <c r="J21" s="682"/>
      <c r="K21" s="682"/>
      <c r="L21" s="678">
        <f>other!L19</f>
        <v>0</v>
      </c>
      <c r="M21" s="678">
        <f>other!M19</f>
        <v>0</v>
      </c>
      <c r="N21" s="678">
        <f>other!N19</f>
        <v>0</v>
      </c>
      <c r="O21" s="678">
        <f>other!O19</f>
        <v>0</v>
      </c>
      <c r="P21" s="678">
        <f>other!P19</f>
        <v>0</v>
      </c>
    </row>
    <row r="22" spans="1:18" s="665" customFormat="1" ht="5.25" customHeight="1">
      <c r="A22" s="642"/>
      <c r="I22" s="686"/>
      <c r="J22" s="686"/>
      <c r="K22" s="686"/>
      <c r="L22" s="687"/>
      <c r="M22" s="687"/>
      <c r="N22" s="687"/>
      <c r="O22" s="687"/>
      <c r="P22" s="687"/>
    </row>
    <row r="23" spans="1:18" s="689" customFormat="1" ht="12.75">
      <c r="A23" s="642" t="s">
        <v>43</v>
      </c>
      <c r="B23" s="688" t="s">
        <v>295</v>
      </c>
      <c r="C23" s="688"/>
      <c r="D23" s="688"/>
      <c r="I23" s="690"/>
      <c r="J23" s="690"/>
      <c r="K23" s="690"/>
      <c r="L23" s="691">
        <f>SUM(L14:L21)</f>
        <v>409.36015734597277</v>
      </c>
      <c r="M23" s="691">
        <f>SUM(M14:M21)</f>
        <v>439.47950856042337</v>
      </c>
      <c r="N23" s="691">
        <f>SUM(N14:N21)</f>
        <v>470.15519170180528</v>
      </c>
      <c r="O23" s="691">
        <f>SUM(O14:O21)</f>
        <v>504.21127353931581</v>
      </c>
      <c r="P23" s="691">
        <f>SUM(P14:P21)</f>
        <v>542.06828798471554</v>
      </c>
    </row>
    <row r="24" spans="1:18" s="665" customFormat="1" ht="12.75">
      <c r="A24" s="642"/>
      <c r="B24" s="692" t="s">
        <v>296</v>
      </c>
      <c r="C24" s="692"/>
      <c r="D24" s="692"/>
      <c r="E24" s="693"/>
      <c r="I24" s="693"/>
      <c r="J24" s="693"/>
      <c r="K24" s="694"/>
      <c r="L24" s="695"/>
      <c r="M24" s="695">
        <f>M23/L23-1</f>
        <v>7.3576655358267073E-2</v>
      </c>
      <c r="N24" s="695">
        <f>N23/M23-1</f>
        <v>6.9800030590423612E-2</v>
      </c>
      <c r="O24" s="695">
        <f>O23/N23-1</f>
        <v>7.2435830633367893E-2</v>
      </c>
      <c r="P24" s="695">
        <f>P23/O23-1</f>
        <v>7.5081650157605706E-2</v>
      </c>
    </row>
    <row r="25" spans="1:18" s="665" customFormat="1" ht="12.75">
      <c r="A25" s="642"/>
      <c r="B25" s="692"/>
      <c r="C25" s="692"/>
      <c r="D25" s="692"/>
      <c r="E25" s="693"/>
      <c r="I25" s="693"/>
      <c r="J25" s="693"/>
      <c r="K25" s="694"/>
      <c r="L25" s="694"/>
      <c r="M25" s="694"/>
      <c r="N25" s="694"/>
      <c r="O25" s="694"/>
      <c r="P25" s="694"/>
    </row>
    <row r="26" spans="1:18" s="665" customFormat="1" ht="13.15" customHeight="1">
      <c r="A26" s="642"/>
      <c r="B26" s="696"/>
      <c r="C26" s="696"/>
      <c r="D26" s="696"/>
      <c r="E26" s="696"/>
      <c r="F26" s="696"/>
      <c r="G26" s="696"/>
      <c r="H26" s="696"/>
      <c r="I26" s="696"/>
      <c r="J26" s="696"/>
      <c r="K26" s="696"/>
      <c r="L26" s="697"/>
      <c r="R26" s="697"/>
    </row>
    <row r="27" spans="1:18" s="701" customFormat="1" ht="13.15" customHeight="1">
      <c r="A27" s="642"/>
      <c r="B27" s="665"/>
      <c r="C27" s="665"/>
      <c r="D27" s="665"/>
      <c r="E27" s="665"/>
      <c r="F27" s="698" t="s">
        <v>297</v>
      </c>
      <c r="G27" s="699"/>
      <c r="H27" s="699"/>
      <c r="I27" s="699"/>
      <c r="J27" s="700"/>
      <c r="K27" s="696"/>
      <c r="L27" s="698" t="s">
        <v>298</v>
      </c>
      <c r="M27" s="699"/>
      <c r="N27" s="699"/>
      <c r="O27" s="699"/>
      <c r="P27" s="700"/>
    </row>
    <row r="28" spans="1:18" s="665" customFormat="1" ht="13.15" customHeight="1">
      <c r="A28" s="642"/>
      <c r="F28" s="702"/>
      <c r="G28" s="674"/>
      <c r="H28" s="674"/>
      <c r="I28" s="674"/>
      <c r="J28" s="703"/>
      <c r="K28" s="696"/>
      <c r="L28" s="702"/>
      <c r="M28" s="674"/>
      <c r="N28" s="674"/>
      <c r="O28" s="674"/>
      <c r="P28" s="703"/>
    </row>
    <row r="29" spans="1:18" s="665" customFormat="1" ht="13.15" customHeight="1">
      <c r="A29" s="642"/>
      <c r="F29" s="704" t="s">
        <v>299</v>
      </c>
      <c r="G29" s="661"/>
      <c r="H29" s="661"/>
      <c r="I29" s="661"/>
      <c r="J29" s="790">
        <v>7.0000000000000007E-2</v>
      </c>
      <c r="K29" s="696"/>
      <c r="L29" s="704" t="s">
        <v>299</v>
      </c>
      <c r="M29" s="661"/>
      <c r="N29" s="661"/>
      <c r="O29" s="661"/>
      <c r="P29" s="791">
        <f>J29</f>
        <v>7.0000000000000007E-2</v>
      </c>
    </row>
    <row r="30" spans="1:18" s="665" customFormat="1" ht="13.15" customHeight="1">
      <c r="A30" s="642"/>
      <c r="F30" s="707" t="s">
        <v>300</v>
      </c>
      <c r="G30" s="708"/>
      <c r="H30" s="709"/>
      <c r="I30" s="661"/>
      <c r="J30" s="792">
        <f>NPV(J29,$L$23:$P$23)</f>
        <v>1921.3722582721991</v>
      </c>
      <c r="K30" s="696"/>
      <c r="L30" s="707" t="s">
        <v>300</v>
      </c>
      <c r="M30" s="708"/>
      <c r="N30" s="709"/>
      <c r="O30" s="661"/>
      <c r="P30" s="792">
        <f>NPV(P29,$L$23:$P$23)</f>
        <v>1921.3722582721991</v>
      </c>
    </row>
    <row r="31" spans="1:18" s="665" customFormat="1" ht="13.15" customHeight="1">
      <c r="A31" s="642"/>
      <c r="F31" s="711"/>
      <c r="G31" s="661"/>
      <c r="H31" s="661"/>
      <c r="I31" s="661"/>
      <c r="J31" s="793"/>
      <c r="K31" s="696"/>
      <c r="L31" s="711"/>
      <c r="M31" s="661"/>
      <c r="N31" s="661"/>
      <c r="O31" s="661"/>
      <c r="P31" s="793"/>
    </row>
    <row r="32" spans="1:18" s="665" customFormat="1" ht="13.15" customHeight="1">
      <c r="A32" s="642"/>
      <c r="F32" s="713" t="str">
        <f>"Growth rate of FCF after "&amp;P5</f>
        <v>Growth rate of FCF after 2018</v>
      </c>
      <c r="G32" s="708"/>
      <c r="H32" s="709"/>
      <c r="I32" s="661"/>
      <c r="J32" s="794">
        <v>0.02</v>
      </c>
      <c r="K32" s="696"/>
      <c r="L32" s="713" t="s">
        <v>302</v>
      </c>
      <c r="M32" s="708"/>
      <c r="N32" s="709"/>
      <c r="O32" s="661"/>
      <c r="P32" s="795">
        <v>12</v>
      </c>
    </row>
    <row r="33" spans="1:18" s="665" customFormat="1" ht="13.15" customHeight="1">
      <c r="A33" s="642"/>
      <c r="F33" s="716" t="s">
        <v>303</v>
      </c>
      <c r="G33" s="661"/>
      <c r="H33" s="661"/>
      <c r="I33" s="661"/>
      <c r="J33" s="747">
        <f>(P23*(1+J32))/(J29-J32)</f>
        <v>11058.193074888197</v>
      </c>
      <c r="K33" s="696"/>
      <c r="L33" s="716" t="s">
        <v>303</v>
      </c>
      <c r="M33" s="661"/>
      <c r="N33" s="661"/>
      <c r="O33" s="661"/>
      <c r="P33" s="747">
        <f>P32*P9</f>
        <v>11337.788798200074</v>
      </c>
    </row>
    <row r="34" spans="1:18" s="665" customFormat="1" ht="13.15" customHeight="1">
      <c r="A34" s="642"/>
      <c r="F34" s="707" t="s">
        <v>304</v>
      </c>
      <c r="G34" s="708"/>
      <c r="H34" s="709"/>
      <c r="I34" s="661"/>
      <c r="J34" s="796">
        <f>PV(J29,$P$5-$K$5,0,-J33)</f>
        <v>7884.3388324572943</v>
      </c>
      <c r="K34" s="696"/>
      <c r="L34" s="707" t="s">
        <v>304</v>
      </c>
      <c r="M34" s="708"/>
      <c r="N34" s="709"/>
      <c r="O34" s="661"/>
      <c r="P34" s="796">
        <f>PV(P29,$P$5-$K$5,0,-P33)</f>
        <v>8083.6867190214025</v>
      </c>
    </row>
    <row r="35" spans="1:18" s="665" customFormat="1" ht="13.15" customHeight="1">
      <c r="A35" s="642"/>
      <c r="F35" s="711"/>
      <c r="G35" s="661"/>
      <c r="H35" s="661"/>
      <c r="I35" s="661"/>
      <c r="J35" s="793"/>
      <c r="K35" s="696"/>
      <c r="L35" s="711"/>
      <c r="M35" s="661"/>
      <c r="N35" s="661"/>
      <c r="O35" s="661"/>
      <c r="P35" s="793"/>
    </row>
    <row r="36" spans="1:18" s="665" customFormat="1" ht="13.15" customHeight="1">
      <c r="A36" s="642"/>
      <c r="F36" s="713" t="s">
        <v>305</v>
      </c>
      <c r="G36" s="719"/>
      <c r="H36" s="720"/>
      <c r="I36" s="664"/>
      <c r="J36" s="797">
        <f>J34+J30</f>
        <v>9805.7110907294937</v>
      </c>
      <c r="K36" s="696"/>
      <c r="L36" s="713" t="s">
        <v>305</v>
      </c>
      <c r="M36" s="719"/>
      <c r="N36" s="720"/>
      <c r="O36" s="664"/>
      <c r="P36" s="797">
        <f>P34+P30</f>
        <v>10005.058977293602</v>
      </c>
    </row>
    <row r="37" spans="1:18" s="665" customFormat="1" ht="13.15" customHeight="1">
      <c r="A37" s="642"/>
      <c r="F37" s="722" t="s">
        <v>306</v>
      </c>
      <c r="G37" s="661"/>
      <c r="H37" s="661"/>
      <c r="I37" s="661"/>
      <c r="J37" s="798">
        <f>-(352.2+1.2+1014.3+17.5)+160.6+93.8</f>
        <v>-1130.8</v>
      </c>
      <c r="K37" s="696"/>
      <c r="L37" s="722" t="str">
        <f>F37</f>
        <v xml:space="preserve"> LESS: Net Debt (d) (e)</v>
      </c>
      <c r="M37" s="661"/>
      <c r="N37" s="661"/>
      <c r="O37" s="661"/>
      <c r="P37" s="799">
        <f>J37</f>
        <v>-1130.8</v>
      </c>
    </row>
    <row r="38" spans="1:18" s="665" customFormat="1" ht="13.15" customHeight="1">
      <c r="A38" s="642"/>
      <c r="F38" s="725" t="s">
        <v>307</v>
      </c>
      <c r="G38" s="726"/>
      <c r="H38" s="727"/>
      <c r="I38" s="728"/>
      <c r="J38" s="800">
        <f>SUM(J36:J37)</f>
        <v>8674.9110907294944</v>
      </c>
      <c r="K38" s="696"/>
      <c r="L38" s="725" t="s">
        <v>307</v>
      </c>
      <c r="M38" s="726"/>
      <c r="N38" s="727"/>
      <c r="O38" s="728"/>
      <c r="P38" s="800">
        <f>SUM(P36:P37)</f>
        <v>8874.2589772936026</v>
      </c>
    </row>
    <row r="39" spans="1:18" s="665" customFormat="1" ht="13.15" customHeight="1">
      <c r="A39" s="642"/>
      <c r="B39" s="696"/>
      <c r="C39" s="696"/>
      <c r="F39" s="696"/>
      <c r="G39" s="696"/>
      <c r="H39" s="696"/>
      <c r="I39" s="696"/>
      <c r="J39" s="696"/>
      <c r="K39" s="696"/>
      <c r="Q39" s="661"/>
      <c r="R39" s="661"/>
    </row>
    <row r="40" spans="1:18" s="665" customFormat="1" ht="13.15" customHeight="1">
      <c r="A40" s="642" t="s">
        <v>43</v>
      </c>
      <c r="B40" s="696"/>
      <c r="C40" s="696"/>
      <c r="F40" s="696"/>
      <c r="G40" s="696"/>
      <c r="H40" s="696"/>
      <c r="I40" s="732" t="s">
        <v>308</v>
      </c>
      <c r="J40" s="801">
        <v>130.70062397317437</v>
      </c>
      <c r="K40" s="696"/>
      <c r="M40" s="696"/>
      <c r="N40" s="696"/>
      <c r="O40" s="732" t="s">
        <v>308</v>
      </c>
      <c r="P40" s="802">
        <f>J40</f>
        <v>130.70062397317437</v>
      </c>
      <c r="Q40" s="696"/>
      <c r="R40" s="696"/>
    </row>
    <row r="41" spans="1:18" s="665" customFormat="1" ht="13.15" customHeight="1">
      <c r="A41" s="642"/>
      <c r="B41" s="696"/>
      <c r="C41" s="696"/>
      <c r="F41" s="696"/>
      <c r="G41" s="696"/>
      <c r="H41" s="696"/>
      <c r="I41" s="696"/>
      <c r="J41" s="696"/>
      <c r="K41" s="696"/>
      <c r="L41" s="696"/>
      <c r="M41" s="696"/>
      <c r="N41" s="696"/>
      <c r="O41" s="696"/>
      <c r="P41" s="696"/>
      <c r="Q41" s="696"/>
      <c r="R41" s="696"/>
    </row>
    <row r="42" spans="1:18" s="665" customFormat="1" ht="13.15" customHeight="1">
      <c r="A42" s="642"/>
      <c r="B42" s="696"/>
      <c r="C42" s="696"/>
      <c r="F42" s="696"/>
      <c r="G42" s="735"/>
      <c r="H42" s="736"/>
      <c r="I42" s="737" t="s">
        <v>309</v>
      </c>
      <c r="J42" s="803">
        <f>J38/J40</f>
        <v>66.372377017189876</v>
      </c>
      <c r="K42" s="696"/>
      <c r="L42" s="696"/>
      <c r="M42" s="735"/>
      <c r="N42" s="736"/>
      <c r="O42" s="737" t="s">
        <v>310</v>
      </c>
      <c r="P42" s="803">
        <f>P38/P40</f>
        <v>67.897602226558604</v>
      </c>
      <c r="Q42" s="696"/>
      <c r="R42" s="696"/>
    </row>
    <row r="43" spans="1:18" s="665" customFormat="1" ht="13.15" customHeight="1">
      <c r="A43" s="642"/>
      <c r="B43" s="696"/>
      <c r="C43" s="696"/>
      <c r="F43" s="696"/>
      <c r="G43" s="696"/>
      <c r="H43" s="696"/>
      <c r="I43" s="696"/>
      <c r="J43" s="696"/>
      <c r="K43" s="696"/>
      <c r="L43" s="696"/>
      <c r="M43" s="696"/>
      <c r="N43" s="697"/>
    </row>
    <row r="44" spans="1:18" s="665" customFormat="1" ht="13.15" customHeight="1" outlineLevel="1">
      <c r="A44" s="642"/>
      <c r="B44" s="696"/>
      <c r="C44" s="696"/>
      <c r="F44" s="739" t="s">
        <v>311</v>
      </c>
      <c r="G44" s="740"/>
      <c r="H44" s="740"/>
      <c r="I44" s="740"/>
      <c r="J44" s="741"/>
      <c r="K44" s="696"/>
      <c r="L44" s="739" t="s">
        <v>312</v>
      </c>
      <c r="M44" s="740"/>
      <c r="N44" s="740"/>
      <c r="O44" s="740"/>
      <c r="P44" s="741"/>
    </row>
    <row r="45" spans="1:18" s="665" customFormat="1" ht="13.15" customHeight="1" outlineLevel="1">
      <c r="A45" s="642"/>
      <c r="B45" s="696"/>
      <c r="C45" s="696"/>
      <c r="F45" s="742" t="s">
        <v>313</v>
      </c>
      <c r="G45" s="743"/>
      <c r="H45" s="674"/>
      <c r="I45" s="674"/>
      <c r="J45" s="744">
        <f>P23</f>
        <v>542.06828798471554</v>
      </c>
      <c r="K45" s="696"/>
      <c r="L45" s="742" t="s">
        <v>314</v>
      </c>
      <c r="M45" s="743"/>
      <c r="N45" s="674"/>
      <c r="O45" s="674"/>
      <c r="P45" s="744">
        <f>P9</f>
        <v>944.81573318333949</v>
      </c>
    </row>
    <row r="46" spans="1:18" s="665" customFormat="1" ht="13.15" customHeight="1" outlineLevel="1">
      <c r="A46" s="642"/>
      <c r="B46" s="696"/>
      <c r="C46" s="696"/>
      <c r="F46" s="722" t="s">
        <v>315</v>
      </c>
      <c r="G46" s="709"/>
      <c r="H46" s="661"/>
      <c r="I46" s="661"/>
      <c r="J46" s="745">
        <f>J29</f>
        <v>7.0000000000000007E-2</v>
      </c>
      <c r="K46" s="696"/>
      <c r="L46" s="722" t="s">
        <v>315</v>
      </c>
      <c r="M46" s="709"/>
      <c r="N46" s="661"/>
      <c r="O46" s="661"/>
      <c r="P46" s="745">
        <f>P29</f>
        <v>7.0000000000000007E-2</v>
      </c>
    </row>
    <row r="47" spans="1:18" s="665" customFormat="1" ht="13.15" customHeight="1" outlineLevel="1">
      <c r="A47" s="642"/>
      <c r="B47" s="696"/>
      <c r="C47" s="696"/>
      <c r="F47" s="722" t="str">
        <f>"Growth rate of free cash flow after "&amp;P5</f>
        <v>Growth rate of free cash flow after 2018</v>
      </c>
      <c r="G47" s="709"/>
      <c r="H47" s="661"/>
      <c r="I47" s="661"/>
      <c r="J47" s="745">
        <f>J32</f>
        <v>0.02</v>
      </c>
      <c r="L47" s="722" t="s">
        <v>316</v>
      </c>
      <c r="M47" s="709"/>
      <c r="N47" s="661"/>
      <c r="O47" s="661"/>
      <c r="P47" s="746">
        <f>P32</f>
        <v>12</v>
      </c>
    </row>
    <row r="48" spans="1:18" s="665" customFormat="1" ht="13.15" customHeight="1" outlineLevel="1">
      <c r="A48" s="642"/>
      <c r="B48" s="661"/>
      <c r="C48" s="661"/>
      <c r="F48" s="722" t="str">
        <f>P5&amp;" EBITDA"</f>
        <v>2018 EBITDA</v>
      </c>
      <c r="G48" s="709"/>
      <c r="H48" s="661"/>
      <c r="I48" s="661"/>
      <c r="J48" s="747">
        <f>P9</f>
        <v>944.81573318333949</v>
      </c>
      <c r="L48" s="722" t="s">
        <v>313</v>
      </c>
      <c r="M48" s="709"/>
      <c r="N48" s="661"/>
      <c r="O48" s="661"/>
      <c r="P48" s="747">
        <f>P23</f>
        <v>542.06828798471554</v>
      </c>
    </row>
    <row r="49" spans="1:17" s="665" customFormat="1" ht="13.15" customHeight="1" outlineLevel="1">
      <c r="A49" s="642"/>
      <c r="B49" s="661"/>
      <c r="C49" s="661"/>
      <c r="F49" s="748"/>
      <c r="G49" s="749"/>
      <c r="H49" s="749"/>
      <c r="I49" s="750" t="s">
        <v>317</v>
      </c>
      <c r="J49" s="751">
        <f>(J45*(1+J47))/((J46-J47)*J48)</f>
        <v>11.704073806677791</v>
      </c>
      <c r="L49" s="748"/>
      <c r="M49" s="749"/>
      <c r="N49" s="749"/>
      <c r="O49" s="750" t="s">
        <v>318</v>
      </c>
      <c r="P49" s="752">
        <f>((P45*P47*P46)-P48)/(P48+(P45*P47))</f>
        <v>2.1176763833451424E-2</v>
      </c>
    </row>
    <row r="50" spans="1:17" s="665" customFormat="1" ht="13.15" customHeight="1" outlineLevel="1">
      <c r="A50" s="642"/>
      <c r="B50" s="661"/>
      <c r="C50" s="661"/>
      <c r="F50" s="661"/>
      <c r="G50" s="661"/>
      <c r="H50" s="661"/>
      <c r="I50" s="661"/>
      <c r="J50" s="753" t="str">
        <f>"("&amp;TEXT(J45,"$#,#0.0")&amp;" x (1+"&amp;TEXT(J47,"0.0%")&amp;")) / ("&amp;TEXT(J48,"$#,#0.0")&amp; " x ("&amp;TEXT(J46,"0.0%")&amp;" - "&amp;TEXT(J47,"0.0%")&amp;")) = "&amp;TEXT(J49,"0.0x")</f>
        <v>($542.1 x (1+2.0%)) / ($944.8 x (7.0% - 2.0%)) = 11.7x</v>
      </c>
      <c r="O50" s="661"/>
      <c r="P50" s="753" t="str">
        <f>"("&amp;TEXT(P45,"$#,#0.0")&amp;" x "&amp;TEXT(P47,"0.0")&amp;" x "&amp;TEXT(P46,"0.0%")&amp;") - "&amp;TEXT(P48,"$#,#0.0")&amp;") / ("&amp;TEXT(P48,"$#,#0.0")&amp;" + ("&amp;TEXT(P45,"$#,#0.0")&amp;"  x "&amp;TEXT(P47,"0.0")&amp;")) = "&amp;TEXT(P49,"0.0%")</f>
        <v>($944.8 x 12.0 x 7.0%) - $542.1) / ($542.1 + ($944.8  x 12.0)) = 2.1%</v>
      </c>
      <c r="Q50" s="663"/>
    </row>
    <row r="51" spans="1:17" s="665" customFormat="1" ht="13.15" customHeight="1">
      <c r="A51" s="642"/>
      <c r="B51" s="661"/>
      <c r="C51" s="661"/>
      <c r="F51" s="661"/>
      <c r="G51" s="661"/>
      <c r="H51" s="661"/>
      <c r="I51" s="754"/>
      <c r="J51" s="754"/>
      <c r="K51" s="755" t="s">
        <v>319</v>
      </c>
      <c r="L51" s="701"/>
      <c r="M51" s="701"/>
      <c r="O51" s="661"/>
      <c r="P51" s="661"/>
      <c r="Q51" s="663"/>
    </row>
    <row r="52" spans="1:17" s="665" customFormat="1" ht="13.15" customHeight="1">
      <c r="A52" s="642"/>
      <c r="B52" s="661"/>
      <c r="C52" s="661"/>
      <c r="F52" s="661"/>
      <c r="G52" s="661"/>
      <c r="H52" s="661"/>
      <c r="I52" s="661"/>
      <c r="J52" s="661"/>
      <c r="K52" s="755" t="s">
        <v>320</v>
      </c>
      <c r="O52" s="661"/>
      <c r="P52" s="661"/>
      <c r="Q52" s="663"/>
    </row>
    <row r="53" spans="1:17" s="665" customFormat="1" ht="13.15" customHeight="1">
      <c r="A53" s="642"/>
      <c r="B53" s="661"/>
      <c r="C53" s="661"/>
      <c r="F53" s="661"/>
      <c r="G53" s="661"/>
      <c r="H53" s="661"/>
      <c r="I53" s="661"/>
      <c r="J53" s="661"/>
      <c r="K53" s="755"/>
      <c r="O53" s="661"/>
      <c r="P53" s="661"/>
      <c r="Q53" s="663"/>
    </row>
    <row r="54" spans="1:17" s="665" customFormat="1" ht="11.65" customHeight="1">
      <c r="A54" s="642"/>
      <c r="B54" s="756"/>
      <c r="C54" s="756"/>
      <c r="D54" s="756"/>
      <c r="E54" s="756"/>
      <c r="F54" s="756"/>
      <c r="G54" s="756"/>
      <c r="H54" s="756"/>
      <c r="I54" s="756"/>
      <c r="J54" s="661"/>
      <c r="K54" s="755"/>
      <c r="L54" s="804"/>
    </row>
    <row r="55" spans="1:17" s="762" customFormat="1" ht="11.65" customHeight="1">
      <c r="A55" s="642" t="s">
        <v>43</v>
      </c>
      <c r="B55" s="757" t="s">
        <v>321</v>
      </c>
      <c r="C55" s="758" t="s">
        <v>322</v>
      </c>
      <c r="D55" s="759"/>
      <c r="E55" s="757"/>
      <c r="F55" s="760"/>
      <c r="G55" s="760"/>
      <c r="H55" s="757"/>
      <c r="I55" s="757"/>
      <c r="J55" s="761"/>
      <c r="K55" s="761"/>
      <c r="L55" s="761"/>
      <c r="M55" s="761"/>
      <c r="N55" s="761"/>
      <c r="O55" s="761"/>
      <c r="P55" s="761"/>
    </row>
    <row r="56" spans="1:17" s="762" customFormat="1" ht="11.65" customHeight="1">
      <c r="A56" s="642"/>
      <c r="B56" s="757" t="s">
        <v>323</v>
      </c>
      <c r="C56" s="763" t="str">
        <f>"Present values calculated as of "&amp;TEXT(F63,"m/d/yy")&amp;"."</f>
        <v>Present values calculated as of 11/30/13.</v>
      </c>
      <c r="D56" s="757"/>
      <c r="E56" s="757"/>
      <c r="F56" s="757"/>
      <c r="G56" s="757"/>
      <c r="H56" s="757"/>
      <c r="I56" s="757"/>
      <c r="J56" s="757"/>
      <c r="K56" s="757"/>
      <c r="L56" s="757"/>
      <c r="M56" s="757"/>
      <c r="N56" s="757"/>
      <c r="O56" s="757"/>
      <c r="P56" s="757"/>
    </row>
    <row r="57" spans="1:17" s="762" customFormat="1" ht="11.65" customHeight="1">
      <c r="A57" s="642"/>
      <c r="B57" s="757" t="s">
        <v>324</v>
      </c>
      <c r="C57" s="764" t="str">
        <f>"Discounted "&amp;TEXT(P5-K5,"#")&amp;" years; based on "&amp;TEXT(P5,"#")&amp; " unlevered free cash flow of "&amp;TEXT(P23,"$#,#0.0")&amp;" million."</f>
        <v>Discounted 5 years; based on 2018 unlevered free cash flow of $542.1 million.</v>
      </c>
      <c r="D57" s="757"/>
      <c r="E57" s="757"/>
      <c r="F57" s="757"/>
      <c r="G57" s="757"/>
      <c r="H57" s="757"/>
      <c r="I57" s="757"/>
      <c r="J57" s="757"/>
      <c r="K57" s="757"/>
      <c r="L57" s="757"/>
      <c r="M57" s="757"/>
      <c r="N57" s="757"/>
      <c r="O57" s="757"/>
      <c r="P57" s="757"/>
    </row>
    <row r="58" spans="1:17" s="762" customFormat="1" ht="11.65" customHeight="1">
      <c r="A58" s="642"/>
      <c r="B58" s="757" t="s">
        <v>325</v>
      </c>
      <c r="C58" s="763" t="str">
        <f>"Balances as of "&amp;TEXT(F63,"m/d/yy")&amp;" as a training simplification.  Theoretically, the balances should be as of the PV date.  Many practitioners use the latest available balances as an estimate."</f>
        <v>Balances as of 11/30/13 as a training simplification.  Theoretically, the balances should be as of the PV date.  Many practitioners use the latest available balances as an estimate.</v>
      </c>
      <c r="D58" s="757"/>
      <c r="E58" s="757"/>
      <c r="F58" s="757"/>
      <c r="G58" s="757"/>
      <c r="H58" s="757"/>
      <c r="I58" s="757"/>
      <c r="J58" s="757"/>
      <c r="K58" s="757"/>
      <c r="L58" s="757"/>
      <c r="M58" s="757"/>
      <c r="N58" s="757"/>
      <c r="O58" s="757"/>
      <c r="P58" s="757"/>
    </row>
    <row r="59" spans="1:17" s="762" customFormat="1" ht="11.65" customHeight="1">
      <c r="A59" s="642"/>
      <c r="B59" s="757" t="s">
        <v>326</v>
      </c>
      <c r="C59" s="765" t="s">
        <v>327</v>
      </c>
      <c r="D59" s="757"/>
      <c r="E59" s="757"/>
      <c r="F59" s="757"/>
      <c r="G59" s="757"/>
      <c r="H59" s="757"/>
      <c r="I59" s="757"/>
      <c r="J59" s="757"/>
      <c r="K59" s="757"/>
      <c r="L59" s="757"/>
      <c r="M59" s="757"/>
      <c r="N59" s="757"/>
      <c r="O59" s="757"/>
      <c r="P59" s="757"/>
    </row>
    <row r="60" spans="1:17" s="762" customFormat="1" ht="11.65" customHeight="1">
      <c r="A60" s="642"/>
      <c r="B60" s="757" t="s">
        <v>328</v>
      </c>
      <c r="C60" s="764" t="str">
        <f>"Based on "&amp;TEXT(J40,"#,##0.000")&amp;" million diluted shares outstanding as of "&amp;TEXT(F64,"m/d/y")&amp;".  Theoretically, the shares should be as of the PV date to match the timing of the balance sheet items."</f>
        <v>Based on 130.701 million diluted shares outstanding as of 10/17/14.  Theoretically, the shares should be as of the PV date to match the timing of the balance sheet items.</v>
      </c>
      <c r="D60" s="757"/>
      <c r="E60" s="757"/>
      <c r="F60" s="757"/>
      <c r="G60" s="757"/>
      <c r="H60" s="757"/>
      <c r="I60" s="757"/>
      <c r="J60" s="757"/>
      <c r="K60" s="757"/>
      <c r="L60" s="757"/>
      <c r="M60" s="757"/>
      <c r="N60" s="757"/>
      <c r="O60" s="757"/>
      <c r="P60" s="757"/>
    </row>
    <row r="61" spans="1:17" s="762" customFormat="1" ht="11.25">
      <c r="A61" s="642"/>
      <c r="B61" s="757"/>
      <c r="C61" s="757" t="s">
        <v>329</v>
      </c>
      <c r="D61" s="757"/>
      <c r="E61" s="757"/>
      <c r="F61" s="757"/>
      <c r="G61" s="757"/>
      <c r="H61" s="757"/>
      <c r="I61" s="757"/>
      <c r="J61" s="757"/>
      <c r="K61" s="757"/>
      <c r="L61" s="757"/>
      <c r="M61" s="757"/>
      <c r="N61" s="757"/>
      <c r="O61" s="757"/>
      <c r="P61" s="757"/>
    </row>
    <row r="62" spans="1:17" s="762" customFormat="1" ht="11.25">
      <c r="A62" s="642"/>
    </row>
    <row r="63" spans="1:17" s="762" customFormat="1" ht="11.25">
      <c r="A63" s="642"/>
      <c r="E63" s="766" t="s">
        <v>330</v>
      </c>
      <c r="F63" s="767">
        <v>41608</v>
      </c>
      <c r="G63" s="768"/>
    </row>
    <row r="64" spans="1:17" s="762" customFormat="1" ht="11.25">
      <c r="A64" s="642"/>
      <c r="E64" s="766" t="s">
        <v>343</v>
      </c>
      <c r="F64" s="767">
        <v>41929</v>
      </c>
      <c r="G64" s="768"/>
    </row>
    <row r="65" spans="1:18" s="762" customFormat="1" ht="13.15" customHeight="1">
      <c r="A65" s="642"/>
      <c r="G65" s="757"/>
      <c r="H65" s="805"/>
      <c r="I65" s="757"/>
      <c r="J65" s="757"/>
      <c r="K65" s="757"/>
      <c r="L65" s="757"/>
      <c r="M65" s="757"/>
      <c r="N65" s="757"/>
      <c r="O65" s="757"/>
      <c r="P65" s="757"/>
      <c r="Q65" s="757"/>
      <c r="R65" s="757"/>
    </row>
    <row r="66" spans="1:18" s="762" customFormat="1" ht="18">
      <c r="A66" s="642" t="s">
        <v>43</v>
      </c>
      <c r="B66" s="653" t="s">
        <v>332</v>
      </c>
      <c r="G66" s="806"/>
      <c r="H66" s="807"/>
      <c r="I66" s="807"/>
      <c r="J66" s="807"/>
      <c r="K66" s="807"/>
      <c r="L66" s="807"/>
      <c r="M66" s="808"/>
      <c r="N66" s="808"/>
      <c r="O66" s="808"/>
      <c r="P66" s="808"/>
      <c r="Q66" s="808"/>
      <c r="R66" s="808"/>
    </row>
    <row r="67" spans="1:18" s="762" customFormat="1" ht="13.15" customHeight="1">
      <c r="A67" s="642"/>
    </row>
    <row r="68" spans="1:18" s="762" customFormat="1" ht="13.15" customHeight="1">
      <c r="A68" s="642"/>
    </row>
    <row r="69" spans="1:18" s="762" customFormat="1" ht="12.75">
      <c r="A69" s="642" t="s">
        <v>43</v>
      </c>
      <c r="E69" s="769" t="s">
        <v>333</v>
      </c>
    </row>
    <row r="70" spans="1:18" s="762" customFormat="1" ht="13.15" customHeight="1">
      <c r="A70" s="642"/>
      <c r="E70" s="770"/>
    </row>
    <row r="71" spans="1:18" s="772" customFormat="1" ht="13.15" customHeight="1">
      <c r="A71" s="642"/>
      <c r="B71" s="665"/>
      <c r="C71" s="665"/>
      <c r="D71" s="665"/>
      <c r="E71" s="665"/>
      <c r="F71" s="665"/>
      <c r="G71" s="665"/>
      <c r="H71" s="771" t="s">
        <v>315</v>
      </c>
      <c r="I71" s="771"/>
      <c r="J71" s="771"/>
      <c r="K71" s="771"/>
      <c r="L71" s="771"/>
      <c r="M71" s="771"/>
      <c r="N71" s="771"/>
      <c r="O71" s="771"/>
      <c r="P71" s="771"/>
      <c r="Q71" s="754"/>
      <c r="R71" s="754"/>
    </row>
    <row r="72" spans="1:18" s="762" customFormat="1" ht="13.15" customHeight="1">
      <c r="A72" s="642" t="s">
        <v>43</v>
      </c>
      <c r="B72" s="665"/>
      <c r="C72" s="665"/>
      <c r="D72" s="665"/>
      <c r="E72" s="665"/>
      <c r="F72" s="665"/>
      <c r="G72" s="773">
        <f>$J$42</f>
        <v>66.372377017189876</v>
      </c>
      <c r="H72" s="774">
        <v>0.06</v>
      </c>
      <c r="I72" s="775">
        <f t="shared" ref="I72:P72" si="4">H72+$R$72</f>
        <v>6.25E-2</v>
      </c>
      <c r="J72" s="775">
        <f t="shared" si="4"/>
        <v>6.5000000000000002E-2</v>
      </c>
      <c r="K72" s="775">
        <f t="shared" si="4"/>
        <v>6.7500000000000004E-2</v>
      </c>
      <c r="L72" s="775">
        <f t="shared" si="4"/>
        <v>7.0000000000000007E-2</v>
      </c>
      <c r="M72" s="775">
        <f t="shared" si="4"/>
        <v>7.2500000000000009E-2</v>
      </c>
      <c r="N72" s="775">
        <f t="shared" si="4"/>
        <v>7.5000000000000011E-2</v>
      </c>
      <c r="O72" s="775">
        <f t="shared" si="4"/>
        <v>7.7500000000000013E-2</v>
      </c>
      <c r="P72" s="775">
        <f t="shared" si="4"/>
        <v>8.0000000000000016E-2</v>
      </c>
      <c r="Q72" s="665"/>
      <c r="R72" s="774">
        <v>2.5000000000000001E-3</v>
      </c>
    </row>
    <row r="73" spans="1:18" s="762" customFormat="1" ht="13.15" customHeight="1">
      <c r="A73" s="642"/>
      <c r="B73" s="665"/>
      <c r="C73" s="665"/>
      <c r="D73" s="665"/>
      <c r="E73" s="776"/>
      <c r="F73" s="776"/>
      <c r="G73" s="774">
        <v>0.01</v>
      </c>
      <c r="H73" s="777">
        <f t="dataTable" ref="H73:P86" dt2D="1" dtr="0" r1="J29" r2="J32"/>
        <v>69.07415427786772</v>
      </c>
      <c r="I73" s="778">
        <v>65.287654447288489</v>
      </c>
      <c r="J73" s="778">
        <v>61.846149983634042</v>
      </c>
      <c r="K73" s="778">
        <v>58.704632435341871</v>
      </c>
      <c r="L73" s="778">
        <v>55.825594889324485</v>
      </c>
      <c r="M73" s="778">
        <v>53.177531661095195</v>
      </c>
      <c r="N73" s="778">
        <v>50.733784210290921</v>
      </c>
      <c r="O73" s="778">
        <v>48.47164351945171</v>
      </c>
      <c r="P73" s="779">
        <v>46.371644820241777</v>
      </c>
      <c r="Q73" s="665"/>
      <c r="R73" s="665"/>
    </row>
    <row r="74" spans="1:18" s="762" customFormat="1" ht="13.15" customHeight="1">
      <c r="A74" s="642"/>
      <c r="B74" s="665"/>
      <c r="C74" s="665"/>
      <c r="D74" s="665"/>
      <c r="E74" s="776"/>
      <c r="F74" s="776"/>
      <c r="G74" s="775">
        <f t="shared" ref="G74:G86" si="5">G73+$G$88</f>
        <v>1.2500000000000001E-2</v>
      </c>
      <c r="H74" s="809">
        <v>72.532188394732188</v>
      </c>
      <c r="I74" s="810">
        <v>68.387009182688644</v>
      </c>
      <c r="J74" s="810">
        <v>64.637381914808117</v>
      </c>
      <c r="K74" s="810">
        <v>61.229358593741743</v>
      </c>
      <c r="L74" s="810">
        <v>58.118373612773468</v>
      </c>
      <c r="M74" s="810">
        <v>55.267289088923597</v>
      </c>
      <c r="N74" s="810">
        <v>52.644909316148748</v>
      </c>
      <c r="O74" s="810">
        <v>50.224838037073717</v>
      </c>
      <c r="P74" s="811">
        <v>47.984589654375391</v>
      </c>
      <c r="Q74" s="665"/>
      <c r="R74" s="665"/>
    </row>
    <row r="75" spans="1:18" s="762" customFormat="1" ht="13.15" customHeight="1">
      <c r="A75" s="642"/>
      <c r="B75" s="665"/>
      <c r="C75" s="665"/>
      <c r="D75" s="665"/>
      <c r="E75" s="776"/>
      <c r="F75" s="776"/>
      <c r="G75" s="775">
        <f t="shared" si="5"/>
        <v>1.5000000000000001E-2</v>
      </c>
      <c r="H75" s="809">
        <v>76.374448524581595</v>
      </c>
      <c r="I75" s="810">
        <v>71.812611784973029</v>
      </c>
      <c r="J75" s="810">
        <v>67.707737039099641</v>
      </c>
      <c r="K75" s="810">
        <v>63.994534862465443</v>
      </c>
      <c r="L75" s="810">
        <v>60.619586765626913</v>
      </c>
      <c r="M75" s="810">
        <v>57.538764553954458</v>
      </c>
      <c r="N75" s="810">
        <v>54.715294847494718</v>
      </c>
      <c r="O75" s="810">
        <v>52.118288116105475</v>
      </c>
      <c r="P75" s="811">
        <v>49.721607168057744</v>
      </c>
      <c r="Q75" s="665"/>
      <c r="R75" s="665"/>
    </row>
    <row r="76" spans="1:18" s="762" customFormat="1" ht="13.15" customHeight="1">
      <c r="A76" s="642"/>
      <c r="B76" s="665"/>
      <c r="C76" s="665"/>
      <c r="D76" s="665"/>
      <c r="E76" s="776"/>
      <c r="F76" s="776"/>
      <c r="G76" s="775">
        <f t="shared" si="5"/>
        <v>1.7500000000000002E-2</v>
      </c>
      <c r="H76" s="809">
        <v>80.668739257942732</v>
      </c>
      <c r="I76" s="810">
        <v>75.618836898622391</v>
      </c>
      <c r="J76" s="810">
        <v>71.101287439632401</v>
      </c>
      <c r="K76" s="810">
        <v>67.036228758061512</v>
      </c>
      <c r="L76" s="810">
        <v>63.359010694942626</v>
      </c>
      <c r="M76" s="810">
        <v>60.016737788533604</v>
      </c>
      <c r="N76" s="810">
        <v>56.965713903305591</v>
      </c>
      <c r="O76" s="810">
        <v>54.169525701723252</v>
      </c>
      <c r="P76" s="811">
        <v>51.597586082834702</v>
      </c>
      <c r="Q76" s="665"/>
      <c r="R76" s="665"/>
    </row>
    <row r="77" spans="1:18" s="762" customFormat="1" ht="13.15" customHeight="1">
      <c r="A77" s="642"/>
      <c r="B77" s="665"/>
      <c r="C77" s="665"/>
      <c r="D77" s="665"/>
      <c r="E77" s="776"/>
      <c r="F77" s="776"/>
      <c r="G77" s="775">
        <f t="shared" si="5"/>
        <v>0.02</v>
      </c>
      <c r="H77" s="809">
        <v>85.499816332973964</v>
      </c>
      <c r="I77" s="810">
        <v>79.872853202112779</v>
      </c>
      <c r="J77" s="810">
        <v>74.871898995779873</v>
      </c>
      <c r="K77" s="810">
        <v>70.39810095845715</v>
      </c>
      <c r="L77" s="810">
        <v>66.372377017189876</v>
      </c>
      <c r="M77" s="810">
        <v>62.730708474025043</v>
      </c>
      <c r="N77" s="810">
        <v>59.420716509644691</v>
      </c>
      <c r="O77" s="810">
        <v>56.399131773046868</v>
      </c>
      <c r="P77" s="811">
        <v>53.629896573843055</v>
      </c>
      <c r="Q77" s="665"/>
      <c r="R77" s="665"/>
    </row>
    <row r="78" spans="1:18" s="762" customFormat="1" ht="13.15" customHeight="1">
      <c r="A78" s="642"/>
      <c r="B78" s="665"/>
      <c r="C78" s="665"/>
      <c r="D78" s="665"/>
      <c r="E78" s="771" t="s">
        <v>335</v>
      </c>
      <c r="F78" s="771"/>
      <c r="G78" s="775">
        <f t="shared" si="5"/>
        <v>2.2499999999999999E-2</v>
      </c>
      <c r="H78" s="809">
        <v>90.97503701800936</v>
      </c>
      <c r="I78" s="810">
        <v>84.658621543539482</v>
      </c>
      <c r="J78" s="810">
        <v>79.086111911474077</v>
      </c>
      <c r="K78" s="810">
        <v>74.133514514452301</v>
      </c>
      <c r="L78" s="810">
        <v>69.702939794410497</v>
      </c>
      <c r="M78" s="810">
        <v>65.716076228065603</v>
      </c>
      <c r="N78" s="810">
        <v>62.109528888016079</v>
      </c>
      <c r="O78" s="810">
        <v>58.831429305399929</v>
      </c>
      <c r="P78" s="811">
        <v>55.838929716243435</v>
      </c>
      <c r="Q78" s="665"/>
      <c r="R78" s="665"/>
    </row>
    <row r="79" spans="1:18" s="762" customFormat="1" ht="13.15" customHeight="1">
      <c r="A79" s="642"/>
      <c r="B79" s="665"/>
      <c r="C79" s="665"/>
      <c r="D79" s="665"/>
      <c r="E79" s="771" t="s">
        <v>336</v>
      </c>
      <c r="F79" s="771"/>
      <c r="G79" s="775">
        <f t="shared" si="5"/>
        <v>2.4999999999999998E-2</v>
      </c>
      <c r="H79" s="809">
        <v>97.23243208662123</v>
      </c>
      <c r="I79" s="810">
        <v>90.082492330489757</v>
      </c>
      <c r="J79" s="810">
        <v>83.827101441630077</v>
      </c>
      <c r="K79" s="810">
        <v>78.308388488799821</v>
      </c>
      <c r="L79" s="810">
        <v>73.403565102433419</v>
      </c>
      <c r="M79" s="810">
        <v>69.015693219373588</v>
      </c>
      <c r="N79" s="810">
        <v>65.067222504224617</v>
      </c>
      <c r="O79" s="810">
        <v>61.495374221786605</v>
      </c>
      <c r="P79" s="811">
        <v>58.248784053407483</v>
      </c>
      <c r="Q79" s="665"/>
      <c r="R79" s="665"/>
    </row>
    <row r="80" spans="1:18" s="762" customFormat="1" ht="13.15" customHeight="1">
      <c r="A80" s="642"/>
      <c r="B80" s="665"/>
      <c r="C80" s="665"/>
      <c r="D80" s="665"/>
      <c r="E80" s="771" t="s">
        <v>337</v>
      </c>
      <c r="F80" s="771"/>
      <c r="G80" s="775">
        <f t="shared" si="5"/>
        <v>2.7499999999999997E-2</v>
      </c>
      <c r="H80" s="809">
        <v>104.45250331963499</v>
      </c>
      <c r="I80" s="810">
        <v>96.281201801290109</v>
      </c>
      <c r="J80" s="810">
        <v>89.200222909140237</v>
      </c>
      <c r="K80" s="810">
        <v>83.005121709940823</v>
      </c>
      <c r="L80" s="810">
        <v>77.5395580937532</v>
      </c>
      <c r="M80" s="810">
        <v>72.681934320826954</v>
      </c>
      <c r="N80" s="810">
        <v>68.336252290560395</v>
      </c>
      <c r="O80" s="810">
        <v>64.42571362981198</v>
      </c>
      <c r="P80" s="811">
        <v>60.888148327444327</v>
      </c>
      <c r="Q80" s="665"/>
      <c r="R80" s="665"/>
    </row>
    <row r="81" spans="1:18" s="762" customFormat="1" ht="13.15" customHeight="1">
      <c r="A81" s="642"/>
      <c r="B81" s="665"/>
      <c r="C81" s="665"/>
      <c r="D81" s="665"/>
      <c r="E81" s="776"/>
      <c r="F81" s="776"/>
      <c r="G81" s="775">
        <f t="shared" si="5"/>
        <v>2.9999999999999995E-2</v>
      </c>
      <c r="H81" s="809">
        <v>112.87591975815099</v>
      </c>
      <c r="I81" s="810">
        <v>103.43355888298279</v>
      </c>
      <c r="J81" s="810">
        <v>95.340933157723271</v>
      </c>
      <c r="K81" s="810">
        <v>88.328086027233908</v>
      </c>
      <c r="L81" s="810">
        <v>82.19255020898791</v>
      </c>
      <c r="M81" s="810">
        <v>76.779497904804188</v>
      </c>
      <c r="N81" s="810">
        <v>71.968507608711235</v>
      </c>
      <c r="O81" s="810">
        <v>67.664509817629465</v>
      </c>
      <c r="P81" s="811">
        <v>63.791449028884841</v>
      </c>
      <c r="Q81" s="665"/>
      <c r="R81" s="665"/>
    </row>
    <row r="82" spans="1:18" s="762" customFormat="1" ht="13.15" customHeight="1">
      <c r="A82" s="642"/>
      <c r="B82" s="665"/>
      <c r="C82" s="665"/>
      <c r="D82" s="665"/>
      <c r="E82" s="776"/>
      <c r="F82" s="776"/>
      <c r="G82" s="775">
        <f t="shared" si="5"/>
        <v>3.2499999999999994E-2</v>
      </c>
      <c r="H82" s="809">
        <v>122.83086645821535</v>
      </c>
      <c r="I82" s="810">
        <v>111.7779754782909</v>
      </c>
      <c r="J82" s="810">
        <v>102.42636805993445</v>
      </c>
      <c r="K82" s="810">
        <v>94.411473818426018</v>
      </c>
      <c r="L82" s="810">
        <v>87.465941272920588</v>
      </c>
      <c r="M82" s="810">
        <v>81.389256936778594</v>
      </c>
      <c r="N82" s="810">
        <v>76.028087081938622</v>
      </c>
      <c r="O82" s="810">
        <v>71.263172248537785</v>
      </c>
      <c r="P82" s="811">
        <v>67.000360330476965</v>
      </c>
      <c r="Q82" s="665"/>
      <c r="R82" s="665"/>
    </row>
    <row r="83" spans="1:18" s="762" customFormat="1" ht="13.15" customHeight="1">
      <c r="A83" s="642"/>
      <c r="B83" s="665"/>
      <c r="C83" s="665"/>
      <c r="D83" s="665"/>
      <c r="E83" s="776"/>
      <c r="F83" s="776"/>
      <c r="G83" s="775">
        <f t="shared" si="5"/>
        <v>3.4999999999999996E-2</v>
      </c>
      <c r="H83" s="809">
        <v>134.77680249829257</v>
      </c>
      <c r="I83" s="810">
        <v>121.6395587272914</v>
      </c>
      <c r="J83" s="810">
        <v>110.6927087791808</v>
      </c>
      <c r="K83" s="810">
        <v>101.43076742364767</v>
      </c>
      <c r="L83" s="810">
        <v>93.492673917415075</v>
      </c>
      <c r="M83" s="810">
        <v>86.613650506349586</v>
      </c>
      <c r="N83" s="810">
        <v>80.595113989319444</v>
      </c>
      <c r="O83" s="810">
        <v>75.285206730141198</v>
      </c>
      <c r="P83" s="811">
        <v>70.565817332246013</v>
      </c>
      <c r="Q83" s="665"/>
      <c r="R83" s="665"/>
    </row>
    <row r="84" spans="1:18" s="762" customFormat="1" ht="13.15" customHeight="1">
      <c r="A84" s="642"/>
      <c r="B84" s="665"/>
      <c r="C84" s="665"/>
      <c r="D84" s="665"/>
      <c r="E84" s="776"/>
      <c r="F84" s="776"/>
      <c r="G84" s="775">
        <f t="shared" si="5"/>
        <v>3.7499999999999999E-2</v>
      </c>
      <c r="H84" s="809">
        <v>149.37739099172043</v>
      </c>
      <c r="I84" s="810">
        <v>133.47345862609205</v>
      </c>
      <c r="J84" s="810">
        <v>120.46202053829019</v>
      </c>
      <c r="K84" s="810">
        <v>109.61994329640635</v>
      </c>
      <c r="L84" s="810">
        <v>100.44659619952415</v>
      </c>
      <c r="M84" s="810">
        <v>92.584386014430763</v>
      </c>
      <c r="N84" s="810">
        <v>85.771077817684414</v>
      </c>
      <c r="O84" s="810">
        <v>79.809995521945069</v>
      </c>
      <c r="P84" s="811">
        <v>74.550739863634959</v>
      </c>
      <c r="Q84" s="665"/>
      <c r="R84" s="665"/>
    </row>
    <row r="85" spans="1:18" s="762" customFormat="1" ht="13.15" customHeight="1">
      <c r="A85" s="642"/>
      <c r="B85" s="665"/>
      <c r="C85" s="665"/>
      <c r="D85" s="665"/>
      <c r="E85" s="776"/>
      <c r="F85" s="776"/>
      <c r="G85" s="775">
        <f t="shared" si="5"/>
        <v>0.04</v>
      </c>
      <c r="H85" s="809">
        <v>167.62812660850511</v>
      </c>
      <c r="I85" s="810">
        <v>147.93711405795946</v>
      </c>
      <c r="J85" s="810">
        <v>132.18519464922144</v>
      </c>
      <c r="K85" s="810">
        <v>119.29806023693926</v>
      </c>
      <c r="L85" s="810">
        <v>108.55950552865134</v>
      </c>
      <c r="M85" s="810">
        <v>99.473696216062848</v>
      </c>
      <c r="N85" s="810">
        <v>91.686465050101489</v>
      </c>
      <c r="O85" s="810">
        <v>84.938089485989437</v>
      </c>
      <c r="P85" s="811">
        <v>79.033777711447513</v>
      </c>
      <c r="Q85" s="665"/>
      <c r="R85" s="665"/>
    </row>
    <row r="86" spans="1:18" s="762" customFormat="1" ht="13.15" customHeight="1">
      <c r="A86" s="642"/>
      <c r="B86" s="665"/>
      <c r="C86" s="665"/>
      <c r="D86" s="665"/>
      <c r="E86" s="776"/>
      <c r="F86" s="776"/>
      <c r="G86" s="775">
        <f t="shared" si="5"/>
        <v>4.2500000000000003E-2</v>
      </c>
      <c r="H86" s="812">
        <v>191.09335811579973</v>
      </c>
      <c r="I86" s="813">
        <v>166.01668334779376</v>
      </c>
      <c r="J86" s="813">
        <v>146.51351856258182</v>
      </c>
      <c r="K86" s="813">
        <v>130.91180056557877</v>
      </c>
      <c r="L86" s="813">
        <v>118.14748928125623</v>
      </c>
      <c r="M86" s="813">
        <v>107.51122478463363</v>
      </c>
      <c r="N86" s="813">
        <v>98.511911856736589</v>
      </c>
      <c r="O86" s="813">
        <v>90.798768302040131</v>
      </c>
      <c r="P86" s="814">
        <v>84.114553938968385</v>
      </c>
      <c r="Q86" s="665"/>
      <c r="R86" s="665"/>
    </row>
    <row r="87" spans="1:18" s="762" customFormat="1" ht="13.15" customHeight="1">
      <c r="A87" s="642"/>
      <c r="B87" s="665"/>
      <c r="C87" s="665"/>
      <c r="D87" s="665"/>
      <c r="E87" s="665"/>
      <c r="F87" s="665"/>
      <c r="G87" s="665"/>
      <c r="H87" s="665"/>
      <c r="I87" s="665"/>
      <c r="J87" s="665"/>
      <c r="K87" s="665"/>
      <c r="L87" s="665"/>
      <c r="M87" s="665"/>
      <c r="N87" s="665"/>
      <c r="O87" s="665"/>
      <c r="P87" s="665"/>
      <c r="Q87" s="665"/>
      <c r="R87" s="665"/>
    </row>
    <row r="88" spans="1:18" s="762" customFormat="1" ht="13.15" customHeight="1">
      <c r="A88" s="642"/>
      <c r="B88" s="665"/>
      <c r="C88" s="665"/>
      <c r="D88" s="665"/>
      <c r="E88" s="665"/>
      <c r="F88" s="665"/>
      <c r="G88" s="774">
        <v>2.5000000000000001E-3</v>
      </c>
      <c r="H88" s="665"/>
      <c r="I88" s="665"/>
      <c r="J88" s="665"/>
      <c r="K88" s="665"/>
      <c r="L88" s="665"/>
      <c r="M88" s="665"/>
      <c r="N88" s="665"/>
      <c r="O88" s="665"/>
      <c r="P88" s="665"/>
      <c r="Q88" s="665"/>
      <c r="R88" s="665"/>
    </row>
    <row r="89" spans="1:18" s="762" customFormat="1" ht="13.15" customHeight="1">
      <c r="A89" s="642"/>
      <c r="B89" s="665"/>
      <c r="C89" s="665"/>
      <c r="D89" s="665"/>
      <c r="E89" s="665"/>
      <c r="F89" s="665"/>
      <c r="G89" s="665"/>
      <c r="H89" s="665"/>
      <c r="I89" s="665"/>
      <c r="J89" s="665"/>
      <c r="K89" s="665"/>
      <c r="L89" s="665"/>
      <c r="M89" s="665"/>
      <c r="N89" s="665"/>
      <c r="O89" s="665"/>
      <c r="P89" s="665"/>
      <c r="Q89" s="665"/>
      <c r="R89" s="665"/>
    </row>
    <row r="90" spans="1:18" s="762" customFormat="1" ht="13.15" customHeight="1">
      <c r="A90" s="642"/>
      <c r="B90" s="665"/>
      <c r="C90" s="665"/>
      <c r="D90" s="665"/>
      <c r="E90" s="665"/>
      <c r="F90" s="665"/>
      <c r="G90" s="665"/>
      <c r="H90" s="665"/>
      <c r="I90" s="665"/>
      <c r="J90" s="665"/>
      <c r="K90" s="665"/>
      <c r="L90" s="665"/>
      <c r="M90" s="665"/>
      <c r="N90" s="665"/>
      <c r="O90" s="665"/>
      <c r="P90" s="665"/>
      <c r="Q90" s="665"/>
      <c r="R90" s="665"/>
    </row>
    <row r="91" spans="1:18" s="762" customFormat="1" ht="12.75">
      <c r="A91" s="642" t="s">
        <v>43</v>
      </c>
      <c r="B91" s="665"/>
      <c r="C91" s="665"/>
      <c r="D91" s="665"/>
      <c r="E91" s="769" t="s">
        <v>338</v>
      </c>
      <c r="F91" s="665"/>
      <c r="G91" s="665"/>
      <c r="H91" s="665"/>
      <c r="I91" s="665"/>
      <c r="J91" s="665"/>
      <c r="K91" s="665"/>
      <c r="L91" s="665"/>
      <c r="M91" s="665"/>
      <c r="N91" s="665"/>
      <c r="O91" s="665"/>
      <c r="P91" s="665"/>
      <c r="Q91" s="665"/>
      <c r="R91" s="665"/>
    </row>
    <row r="92" spans="1:18" s="762" customFormat="1" ht="13.15" customHeight="1">
      <c r="A92" s="642"/>
      <c r="B92" s="665"/>
      <c r="C92" s="665"/>
      <c r="D92" s="665"/>
      <c r="E92" s="769"/>
      <c r="F92" s="665"/>
      <c r="G92" s="665"/>
      <c r="H92" s="665"/>
      <c r="I92" s="665"/>
      <c r="J92" s="665"/>
      <c r="K92" s="665"/>
      <c r="L92" s="665"/>
      <c r="M92" s="665"/>
      <c r="N92" s="665"/>
      <c r="O92" s="665"/>
      <c r="P92" s="665"/>
      <c r="Q92" s="665"/>
      <c r="R92" s="665"/>
    </row>
    <row r="93" spans="1:18" s="762" customFormat="1" ht="13.15" customHeight="1">
      <c r="A93" s="642"/>
      <c r="B93" s="665"/>
      <c r="C93" s="665"/>
      <c r="D93" s="665"/>
      <c r="E93" s="665"/>
      <c r="F93" s="665"/>
      <c r="G93" s="665"/>
      <c r="H93" s="771" t="s">
        <v>315</v>
      </c>
      <c r="I93" s="771"/>
      <c r="J93" s="771"/>
      <c r="K93" s="771"/>
      <c r="L93" s="771"/>
      <c r="M93" s="771"/>
      <c r="N93" s="771"/>
      <c r="O93" s="771"/>
      <c r="P93" s="771"/>
      <c r="Q93" s="754"/>
      <c r="R93" s="754"/>
    </row>
    <row r="94" spans="1:18" s="762" customFormat="1" ht="13.15" customHeight="1">
      <c r="A94" s="642" t="s">
        <v>43</v>
      </c>
      <c r="B94" s="665"/>
      <c r="C94" s="665"/>
      <c r="D94" s="665"/>
      <c r="E94" s="665"/>
      <c r="F94" s="665"/>
      <c r="G94" s="786">
        <f>$P$42</f>
        <v>67.897602226558604</v>
      </c>
      <c r="H94" s="774">
        <f>H72</f>
        <v>0.06</v>
      </c>
      <c r="I94" s="775">
        <f>H94+$R94</f>
        <v>6.25E-2</v>
      </c>
      <c r="J94" s="775">
        <f t="shared" ref="J94:P94" si="6">I94+$R94</f>
        <v>6.5000000000000002E-2</v>
      </c>
      <c r="K94" s="775">
        <f t="shared" si="6"/>
        <v>6.7500000000000004E-2</v>
      </c>
      <c r="L94" s="775">
        <f t="shared" si="6"/>
        <v>7.0000000000000007E-2</v>
      </c>
      <c r="M94" s="775">
        <f t="shared" si="6"/>
        <v>7.2500000000000009E-2</v>
      </c>
      <c r="N94" s="775">
        <f t="shared" si="6"/>
        <v>7.5000000000000011E-2</v>
      </c>
      <c r="O94" s="775">
        <f t="shared" si="6"/>
        <v>7.7500000000000013E-2</v>
      </c>
      <c r="P94" s="775">
        <f t="shared" si="6"/>
        <v>8.0000000000000016E-2</v>
      </c>
      <c r="Q94" s="665"/>
      <c r="R94" s="774">
        <f>R72</f>
        <v>2.5000000000000001E-3</v>
      </c>
    </row>
    <row r="95" spans="1:18" s="762" customFormat="1" ht="13.15" customHeight="1">
      <c r="A95" s="642"/>
      <c r="B95" s="665"/>
      <c r="C95" s="665"/>
      <c r="D95" s="665"/>
      <c r="E95" s="776"/>
      <c r="F95" s="776"/>
      <c r="G95" s="787">
        <v>10</v>
      </c>
      <c r="H95" s="777">
        <f t="dataTable" ref="H95:P108" dt2D="1" dtr="0" r1="P29" r2="P32"/>
        <v>60.488890169680566</v>
      </c>
      <c r="I95" s="778">
        <v>59.749129403049814</v>
      </c>
      <c r="J95" s="778">
        <v>59.019410427484004</v>
      </c>
      <c r="K95" s="778">
        <v>58.299572084433883</v>
      </c>
      <c r="L95" s="778">
        <v>57.5894561834806</v>
      </c>
      <c r="M95" s="778">
        <v>56.888907440777551</v>
      </c>
      <c r="N95" s="778">
        <v>56.19777341890974</v>
      </c>
      <c r="O95" s="778">
        <v>55.515904468135652</v>
      </c>
      <c r="P95" s="779">
        <v>54.843153668976342</v>
      </c>
      <c r="Q95" s="665"/>
      <c r="R95" s="665"/>
    </row>
    <row r="96" spans="1:18" s="762" customFormat="1" ht="13.15" customHeight="1">
      <c r="A96" s="642"/>
      <c r="B96" s="665"/>
      <c r="C96" s="665"/>
      <c r="D96" s="665"/>
      <c r="E96" s="776"/>
      <c r="F96" s="776"/>
      <c r="G96" s="788">
        <f>G95+$G$110</f>
        <v>10.25</v>
      </c>
      <c r="H96" s="809">
        <v>61.839345234490729</v>
      </c>
      <c r="I96" s="810">
        <v>61.083771351181113</v>
      </c>
      <c r="J96" s="810">
        <v>60.338460935298642</v>
      </c>
      <c r="K96" s="810">
        <v>59.603249211250073</v>
      </c>
      <c r="L96" s="810">
        <v>58.877974438865351</v>
      </c>
      <c r="M96" s="810">
        <v>58.162477850434193</v>
      </c>
      <c r="N96" s="810">
        <v>57.456603589192895</v>
      </c>
      <c r="O96" s="810">
        <v>56.760198649225245</v>
      </c>
      <c r="P96" s="811">
        <v>56.073112816741563</v>
      </c>
      <c r="Q96" s="665"/>
      <c r="R96" s="665"/>
    </row>
    <row r="97" spans="1:18" s="762" customFormat="1" ht="13.15" customHeight="1">
      <c r="A97" s="642"/>
      <c r="B97" s="665"/>
      <c r="C97" s="665"/>
      <c r="D97" s="665"/>
      <c r="E97" s="776"/>
      <c r="F97" s="776"/>
      <c r="G97" s="788">
        <f t="shared" ref="G97:G108" si="7">G96+$G$110</f>
        <v>10.5</v>
      </c>
      <c r="H97" s="809">
        <v>63.189800299300913</v>
      </c>
      <c r="I97" s="810">
        <v>62.418413299312412</v>
      </c>
      <c r="J97" s="810">
        <v>61.657511443113258</v>
      </c>
      <c r="K97" s="810">
        <v>60.90692633806627</v>
      </c>
      <c r="L97" s="810">
        <v>60.166492694250117</v>
      </c>
      <c r="M97" s="810">
        <v>59.436048260090836</v>
      </c>
      <c r="N97" s="810">
        <v>58.715433759476056</v>
      </c>
      <c r="O97" s="810">
        <v>58.004492830314824</v>
      </c>
      <c r="P97" s="811">
        <v>57.303071964506771</v>
      </c>
      <c r="Q97" s="665"/>
      <c r="R97" s="665"/>
    </row>
    <row r="98" spans="1:18" s="762" customFormat="1" ht="13.15" customHeight="1">
      <c r="A98" s="642"/>
      <c r="B98" s="665"/>
      <c r="C98" s="665"/>
      <c r="D98" s="665"/>
      <c r="E98" s="776"/>
      <c r="F98" s="776"/>
      <c r="G98" s="788">
        <f t="shared" si="7"/>
        <v>10.75</v>
      </c>
      <c r="H98" s="809">
        <v>64.540255364111061</v>
      </c>
      <c r="I98" s="810">
        <v>63.75305524744369</v>
      </c>
      <c r="J98" s="810">
        <v>62.976561950927888</v>
      </c>
      <c r="K98" s="810">
        <v>62.210603464882453</v>
      </c>
      <c r="L98" s="810">
        <v>61.455010949634847</v>
      </c>
      <c r="M98" s="810">
        <v>60.709618669747478</v>
      </c>
      <c r="N98" s="810">
        <v>59.974263929759196</v>
      </c>
      <c r="O98" s="810">
        <v>59.248787011404396</v>
      </c>
      <c r="P98" s="811">
        <v>58.533031112271978</v>
      </c>
      <c r="Q98" s="665"/>
      <c r="R98" s="665"/>
    </row>
    <row r="99" spans="1:18" s="762" customFormat="1" ht="13.15" customHeight="1">
      <c r="A99" s="642"/>
      <c r="B99" s="665"/>
      <c r="C99" s="665"/>
      <c r="D99" s="665"/>
      <c r="E99" s="776"/>
      <c r="F99" s="776"/>
      <c r="G99" s="788">
        <f t="shared" si="7"/>
        <v>11</v>
      </c>
      <c r="H99" s="809">
        <v>65.890710428921238</v>
      </c>
      <c r="I99" s="810">
        <v>65.087697195574989</v>
      </c>
      <c r="J99" s="810">
        <v>64.295612458742511</v>
      </c>
      <c r="K99" s="810">
        <v>63.51428059169865</v>
      </c>
      <c r="L99" s="810">
        <v>62.743529205019605</v>
      </c>
      <c r="M99" s="810">
        <v>61.983189079404106</v>
      </c>
      <c r="N99" s="810">
        <v>61.233094100042344</v>
      </c>
      <c r="O99" s="810">
        <v>60.493081192493989</v>
      </c>
      <c r="P99" s="811">
        <v>59.762990260037185</v>
      </c>
      <c r="Q99" s="665"/>
      <c r="R99" s="665"/>
    </row>
    <row r="100" spans="1:18" s="762" customFormat="1" ht="13.15" customHeight="1">
      <c r="A100" s="642"/>
      <c r="B100" s="665"/>
      <c r="C100" s="665"/>
      <c r="D100" s="665"/>
      <c r="E100" s="771" t="s">
        <v>85</v>
      </c>
      <c r="F100" s="771"/>
      <c r="G100" s="788">
        <f t="shared" si="7"/>
        <v>11.25</v>
      </c>
      <c r="H100" s="809">
        <v>67.241165493731387</v>
      </c>
      <c r="I100" s="810">
        <v>66.422339143706267</v>
      </c>
      <c r="J100" s="810">
        <v>65.614662966557134</v>
      </c>
      <c r="K100" s="810">
        <v>64.817957718514833</v>
      </c>
      <c r="L100" s="810">
        <v>64.032047460404357</v>
      </c>
      <c r="M100" s="810">
        <v>63.256759489060762</v>
      </c>
      <c r="N100" s="810">
        <v>62.491924270325484</v>
      </c>
      <c r="O100" s="810">
        <v>61.737375373583554</v>
      </c>
      <c r="P100" s="811">
        <v>60.992949407802392</v>
      </c>
      <c r="Q100" s="665"/>
      <c r="R100" s="665"/>
    </row>
    <row r="101" spans="1:18" s="762" customFormat="1" ht="13.15" customHeight="1">
      <c r="A101" s="642"/>
      <c r="B101" s="665"/>
      <c r="C101" s="665"/>
      <c r="D101" s="665"/>
      <c r="E101" s="771" t="s">
        <v>340</v>
      </c>
      <c r="F101" s="771"/>
      <c r="G101" s="788">
        <f t="shared" si="7"/>
        <v>11.5</v>
      </c>
      <c r="H101" s="809">
        <v>68.59162055854155</v>
      </c>
      <c r="I101" s="810">
        <v>67.756981091837559</v>
      </c>
      <c r="J101" s="810">
        <v>66.933713474371757</v>
      </c>
      <c r="K101" s="810">
        <v>66.12163484533103</v>
      </c>
      <c r="L101" s="810">
        <v>65.320565715789101</v>
      </c>
      <c r="M101" s="810">
        <v>64.530329898717397</v>
      </c>
      <c r="N101" s="810">
        <v>63.750754440608638</v>
      </c>
      <c r="O101" s="810">
        <v>62.981669554673154</v>
      </c>
      <c r="P101" s="811">
        <v>62.222908555567599</v>
      </c>
      <c r="Q101" s="665"/>
      <c r="R101" s="665"/>
    </row>
    <row r="102" spans="1:18" s="762" customFormat="1" ht="13.15" customHeight="1">
      <c r="A102" s="642"/>
      <c r="B102" s="665"/>
      <c r="C102" s="665"/>
      <c r="D102" s="665"/>
      <c r="E102" s="771" t="s">
        <v>341</v>
      </c>
      <c r="F102" s="771"/>
      <c r="G102" s="788">
        <f t="shared" si="7"/>
        <v>11.75</v>
      </c>
      <c r="H102" s="809">
        <v>69.942075623351684</v>
      </c>
      <c r="I102" s="810">
        <v>69.091623039968837</v>
      </c>
      <c r="J102" s="810">
        <v>68.25276398218638</v>
      </c>
      <c r="K102" s="810">
        <v>67.425311972147213</v>
      </c>
      <c r="L102" s="810">
        <v>66.609083971173831</v>
      </c>
      <c r="M102" s="810">
        <v>65.803900308374025</v>
      </c>
      <c r="N102" s="810">
        <v>65.009584610891778</v>
      </c>
      <c r="O102" s="810">
        <v>64.225963735762718</v>
      </c>
      <c r="P102" s="811">
        <v>63.452867703332814</v>
      </c>
      <c r="Q102" s="665"/>
      <c r="R102" s="665"/>
    </row>
    <row r="103" spans="1:18" s="762" customFormat="1" ht="13.15" customHeight="1">
      <c r="A103" s="642"/>
      <c r="B103" s="665"/>
      <c r="C103" s="665"/>
      <c r="D103" s="665"/>
      <c r="E103" s="776"/>
      <c r="F103" s="776"/>
      <c r="G103" s="788">
        <f t="shared" si="7"/>
        <v>12</v>
      </c>
      <c r="H103" s="809">
        <v>71.292530688161861</v>
      </c>
      <c r="I103" s="810">
        <v>70.426264988100115</v>
      </c>
      <c r="J103" s="810">
        <v>69.571814490001017</v>
      </c>
      <c r="K103" s="810">
        <v>68.72898909896341</v>
      </c>
      <c r="L103" s="810">
        <v>67.897602226558604</v>
      </c>
      <c r="M103" s="810">
        <v>67.077470718030668</v>
      </c>
      <c r="N103" s="810">
        <v>66.268414781174954</v>
      </c>
      <c r="O103" s="810">
        <v>65.470257916852304</v>
      </c>
      <c r="P103" s="811">
        <v>64.682826851098028</v>
      </c>
      <c r="Q103" s="665"/>
      <c r="R103" s="665"/>
    </row>
    <row r="104" spans="1:18" s="762" customFormat="1" ht="13.15" customHeight="1">
      <c r="A104" s="642"/>
      <c r="B104" s="665"/>
      <c r="C104" s="665"/>
      <c r="D104" s="665"/>
      <c r="E104" s="776"/>
      <c r="F104" s="776"/>
      <c r="G104" s="788">
        <f t="shared" si="7"/>
        <v>12.25</v>
      </c>
      <c r="H104" s="809">
        <v>72.642985752972024</v>
      </c>
      <c r="I104" s="810">
        <v>71.760906936231422</v>
      </c>
      <c r="J104" s="810">
        <v>70.890864997815626</v>
      </c>
      <c r="K104" s="810">
        <v>70.032666225779607</v>
      </c>
      <c r="L104" s="810">
        <v>69.186120481943348</v>
      </c>
      <c r="M104" s="810">
        <v>68.35104112768731</v>
      </c>
      <c r="N104" s="810">
        <v>67.527244951458101</v>
      </c>
      <c r="O104" s="810">
        <v>66.714552097941876</v>
      </c>
      <c r="P104" s="811">
        <v>65.912785998863242</v>
      </c>
      <c r="Q104" s="665"/>
      <c r="R104" s="665"/>
    </row>
    <row r="105" spans="1:18" s="762" customFormat="1" ht="13.15" customHeight="1">
      <c r="A105" s="642"/>
      <c r="B105" s="665"/>
      <c r="C105" s="665"/>
      <c r="D105" s="665"/>
      <c r="E105" s="776"/>
      <c r="F105" s="776"/>
      <c r="G105" s="788">
        <f t="shared" si="7"/>
        <v>12.5</v>
      </c>
      <c r="H105" s="809">
        <v>73.993440817782172</v>
      </c>
      <c r="I105" s="810">
        <v>73.095548884362699</v>
      </c>
      <c r="J105" s="810">
        <v>72.209915505630249</v>
      </c>
      <c r="K105" s="810">
        <v>71.33634335259579</v>
      </c>
      <c r="L105" s="810">
        <v>70.474638737328078</v>
      </c>
      <c r="M105" s="810">
        <v>69.624611537343938</v>
      </c>
      <c r="N105" s="810">
        <v>68.786075121741234</v>
      </c>
      <c r="O105" s="810">
        <v>67.958846279031462</v>
      </c>
      <c r="P105" s="811">
        <v>67.142745146628457</v>
      </c>
      <c r="Q105" s="665"/>
      <c r="R105" s="665"/>
    </row>
    <row r="106" spans="1:18" s="762" customFormat="1" ht="13.15" customHeight="1">
      <c r="A106" s="642"/>
      <c r="B106" s="665"/>
      <c r="C106" s="665"/>
      <c r="D106" s="665"/>
      <c r="E106" s="776"/>
      <c r="F106" s="776"/>
      <c r="G106" s="788">
        <f t="shared" si="7"/>
        <v>12.75</v>
      </c>
      <c r="H106" s="809">
        <v>75.343895882592349</v>
      </c>
      <c r="I106" s="810">
        <v>74.430190832493992</v>
      </c>
      <c r="J106" s="810">
        <v>73.528966013444872</v>
      </c>
      <c r="K106" s="810">
        <v>72.640020479411987</v>
      </c>
      <c r="L106" s="810">
        <v>71.763156992712837</v>
      </c>
      <c r="M106" s="810">
        <v>70.898181947000595</v>
      </c>
      <c r="N106" s="810">
        <v>70.044905292024382</v>
      </c>
      <c r="O106" s="810">
        <v>69.203140460121034</v>
      </c>
      <c r="P106" s="811">
        <v>68.372704294393671</v>
      </c>
      <c r="Q106" s="665"/>
      <c r="R106" s="665"/>
    </row>
    <row r="107" spans="1:18" s="762" customFormat="1" ht="13.15" customHeight="1">
      <c r="A107" s="642"/>
      <c r="B107" s="665"/>
      <c r="C107" s="665"/>
      <c r="D107" s="665"/>
      <c r="E107" s="776"/>
      <c r="F107" s="776"/>
      <c r="G107" s="788">
        <f t="shared" si="7"/>
        <v>13</v>
      </c>
      <c r="H107" s="809">
        <v>76.694350947402498</v>
      </c>
      <c r="I107" s="810">
        <v>75.764832780625284</v>
      </c>
      <c r="J107" s="810">
        <v>74.848016521259495</v>
      </c>
      <c r="K107" s="810">
        <v>73.94369760622817</v>
      </c>
      <c r="L107" s="810">
        <v>73.051675248097581</v>
      </c>
      <c r="M107" s="810">
        <v>72.171752356657237</v>
      </c>
      <c r="N107" s="810">
        <v>71.303735462307529</v>
      </c>
      <c r="O107" s="810">
        <v>70.44743464121062</v>
      </c>
      <c r="P107" s="811">
        <v>69.602663442158885</v>
      </c>
      <c r="Q107" s="665"/>
      <c r="R107" s="665"/>
    </row>
    <row r="108" spans="1:18" s="762" customFormat="1" ht="13.15" customHeight="1">
      <c r="A108" s="642"/>
      <c r="B108" s="665"/>
      <c r="C108" s="665"/>
      <c r="D108" s="665"/>
      <c r="E108" s="776"/>
      <c r="F108" s="776"/>
      <c r="G108" s="788">
        <f t="shared" si="7"/>
        <v>13.25</v>
      </c>
      <c r="H108" s="812">
        <v>78.044806012212661</v>
      </c>
      <c r="I108" s="813">
        <v>77.099474728756562</v>
      </c>
      <c r="J108" s="813">
        <v>76.167067029074133</v>
      </c>
      <c r="K108" s="813">
        <v>75.247374733044353</v>
      </c>
      <c r="L108" s="813">
        <v>74.340193503482325</v>
      </c>
      <c r="M108" s="813">
        <v>73.445322766313879</v>
      </c>
      <c r="N108" s="813">
        <v>72.562565632590676</v>
      </c>
      <c r="O108" s="813">
        <v>71.691728822300192</v>
      </c>
      <c r="P108" s="814">
        <v>70.832622589924085</v>
      </c>
      <c r="Q108" s="665"/>
      <c r="R108" s="665"/>
    </row>
    <row r="109" spans="1:18" s="762" customFormat="1" ht="13.15" customHeight="1">
      <c r="A109" s="642"/>
      <c r="B109" s="665"/>
      <c r="C109" s="665"/>
      <c r="D109" s="665"/>
      <c r="E109" s="665"/>
      <c r="F109" s="665"/>
      <c r="G109" s="665"/>
      <c r="H109" s="665"/>
      <c r="I109" s="665"/>
      <c r="J109" s="665"/>
      <c r="K109" s="665"/>
      <c r="L109" s="665"/>
      <c r="M109" s="665"/>
      <c r="N109" s="665"/>
      <c r="O109" s="665"/>
      <c r="P109" s="665"/>
      <c r="Q109" s="665"/>
      <c r="R109" s="665"/>
    </row>
    <row r="110" spans="1:18" s="762" customFormat="1" ht="13.15" customHeight="1">
      <c r="A110" s="642"/>
      <c r="B110" s="665"/>
      <c r="C110" s="665"/>
      <c r="D110" s="665"/>
      <c r="E110" s="665"/>
      <c r="F110" s="665"/>
      <c r="G110" s="787">
        <v>0.25</v>
      </c>
      <c r="H110" s="665"/>
      <c r="I110" s="665"/>
      <c r="J110" s="665"/>
      <c r="K110" s="665"/>
      <c r="L110" s="665"/>
      <c r="M110" s="665"/>
      <c r="N110" s="665"/>
      <c r="O110" s="665"/>
      <c r="P110" s="665"/>
      <c r="Q110" s="665"/>
      <c r="R110" s="665"/>
    </row>
    <row r="111" spans="1:18" s="762" customFormat="1" ht="13.15" customHeight="1">
      <c r="A111" s="642"/>
    </row>
    <row r="112" spans="1:18" s="762" customFormat="1" ht="13.15" customHeight="1">
      <c r="A112" s="642" t="s">
        <v>43</v>
      </c>
    </row>
    <row r="113" spans="1:2" s="762" customFormat="1" ht="13.15" customHeight="1">
      <c r="A113" s="642"/>
    </row>
    <row r="114" spans="1:2" s="762" customFormat="1" ht="13.15" customHeight="1">
      <c r="A114" s="642"/>
    </row>
    <row r="115" spans="1:2" s="762" customFormat="1" ht="13.15" customHeight="1">
      <c r="A115" s="642" t="s">
        <v>43</v>
      </c>
      <c r="B115" s="789" t="s">
        <v>342</v>
      </c>
    </row>
  </sheetData>
  <protectedRanges>
    <protectedRange sqref="J32" name="Range1_2"/>
    <protectedRange sqref="P32" name="Range1_1_1"/>
  </protectedRanges>
  <conditionalFormatting sqref="P33:P34 P38 P30 P36 J38 J30 J33:J34 J36">
    <cfRule type="cellIs" dxfId="2" priority="1" stopIfTrue="1" operator="equal">
      <formula>0.000001</formula>
    </cfRule>
  </conditionalFormatting>
  <printOptions horizontalCentered="1"/>
  <pageMargins left="0.5" right="0.5" top="0.7" bottom="0.65" header="0.25" footer="0.25"/>
  <pageSetup scale="69" orientation="landscape" r:id="rId1"/>
  <headerFooter alignWithMargins="0">
    <oddFooter>&amp;C&amp;8&amp;G&amp;R&amp;8For training purposes only!&amp;L&amp;8COPYRIGHT 2017 © by Training The Street, Inc</oddFooter>
  </headerFooter>
  <drawing r:id="rId2"/>
  <legacyDrawing r:id="rId3"/>
  <legacyDrawingHF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X38"/>
  <sheetViews>
    <sheetView showGridLines="0" zoomScaleSheetLayoutView="100" workbookViewId="0"/>
  </sheetViews>
  <sheetFormatPr defaultColWidth="8.85546875" defaultRowHeight="13.15" customHeight="1"/>
  <cols>
    <col min="1" max="1" width="1.7109375" style="642" customWidth="1"/>
    <col min="2" max="2" width="9.85546875" bestFit="1" customWidth="1"/>
    <col min="3" max="5" width="9.140625" customWidth="1"/>
    <col min="6" max="7" width="10.28515625" customWidth="1"/>
    <col min="8" max="8" width="2.7109375" customWidth="1"/>
    <col min="9" max="9" width="9.7109375" customWidth="1"/>
    <col min="10" max="10" width="2.7109375" customWidth="1"/>
    <col min="11" max="11" width="9.7109375" customWidth="1"/>
    <col min="12" max="12" width="2.7109375" customWidth="1"/>
    <col min="13" max="13" width="10.28515625" customWidth="1"/>
    <col min="14" max="14" width="2.7109375" customWidth="1"/>
    <col min="15" max="15" width="13.7109375" customWidth="1"/>
    <col min="16" max="16" width="10.7109375" customWidth="1"/>
    <col min="17" max="17" width="10.85546875" customWidth="1"/>
    <col min="18" max="18" width="2.7109375" customWidth="1"/>
    <col min="19" max="19" width="10.85546875" bestFit="1" customWidth="1"/>
    <col min="20" max="20" width="9.7109375" customWidth="1"/>
    <col min="21" max="21" width="10.7109375" customWidth="1"/>
    <col min="22" max="23" width="9.140625" customWidth="1"/>
    <col min="24" max="24" width="13.28515625" bestFit="1" customWidth="1"/>
  </cols>
  <sheetData>
    <row r="1" spans="1:24" s="28" customFormat="1" ht="18" customHeight="1" thickBot="1">
      <c r="A1" s="642"/>
      <c r="B1" s="335" t="str">
        <f>name&amp;" Parity Checking "</f>
        <v xml:space="preserve">McCormick &amp; Co. Inc. Parity Checking </v>
      </c>
      <c r="C1" s="63"/>
      <c r="D1" s="63"/>
      <c r="E1" s="63"/>
      <c r="F1" s="63"/>
      <c r="G1" s="63"/>
      <c r="H1" s="63"/>
      <c r="I1" s="63"/>
      <c r="J1" s="63"/>
      <c r="K1" s="63"/>
      <c r="L1" s="63"/>
      <c r="M1" s="63"/>
      <c r="N1" s="63"/>
      <c r="O1" s="63"/>
      <c r="P1" s="63"/>
      <c r="Q1" s="63"/>
      <c r="R1" s="63"/>
      <c r="S1" s="63"/>
      <c r="T1" s="63"/>
      <c r="U1" s="63"/>
      <c r="V1" s="63"/>
      <c r="W1" s="63"/>
      <c r="X1"/>
    </row>
    <row r="2" spans="1:24" s="28" customFormat="1" ht="12.75">
      <c r="A2" s="642"/>
      <c r="B2" s="46" t="str">
        <f>Subheader</f>
        <v>Dollars in millions, except per share data</v>
      </c>
      <c r="C2" s="336"/>
      <c r="D2" s="336"/>
      <c r="E2" s="336"/>
      <c r="F2" s="336"/>
      <c r="G2" s="336"/>
      <c r="H2" s="336"/>
      <c r="I2" s="336"/>
      <c r="J2" s="336"/>
      <c r="K2" s="336"/>
      <c r="L2" s="336"/>
      <c r="M2" s="336"/>
      <c r="N2" s="336"/>
      <c r="O2" s="336"/>
      <c r="P2" s="336"/>
      <c r="Q2" s="336"/>
      <c r="R2" s="336"/>
      <c r="S2" s="336"/>
      <c r="T2" s="336"/>
      <c r="U2" s="336"/>
      <c r="V2" s="336"/>
      <c r="W2" s="336"/>
      <c r="X2"/>
    </row>
    <row r="3" spans="1:24" s="28" customFormat="1" ht="12.75">
      <c r="A3" s="642"/>
      <c r="B3" s="63"/>
      <c r="C3" s="63"/>
      <c r="D3" s="63"/>
      <c r="E3" s="63"/>
      <c r="F3" s="63"/>
      <c r="G3" s="63"/>
      <c r="H3" s="63"/>
      <c r="I3" s="63"/>
      <c r="J3" s="63"/>
      <c r="K3" s="63"/>
      <c r="L3" s="145"/>
      <c r="M3" s="63"/>
      <c r="N3" s="63"/>
      <c r="P3" s="63"/>
      <c r="Q3" s="63"/>
      <c r="R3" s="63"/>
      <c r="S3" s="63"/>
    </row>
    <row r="4" spans="1:24" s="28" customFormat="1" ht="15.75">
      <c r="A4" s="642"/>
      <c r="B4" s="30" t="s">
        <v>187</v>
      </c>
      <c r="C4" s="63"/>
      <c r="D4" s="63"/>
      <c r="E4" s="63"/>
      <c r="F4" s="93" t="s">
        <v>186</v>
      </c>
      <c r="G4" s="93"/>
      <c r="H4" s="93"/>
      <c r="I4" s="63"/>
      <c r="J4" s="93"/>
      <c r="K4" s="337" t="s">
        <v>188</v>
      </c>
      <c r="L4" s="338"/>
      <c r="M4" s="63"/>
      <c r="N4" s="63"/>
      <c r="O4" s="339" t="str">
        <f>"Reconciliations for FYE "&amp;$B$5</f>
        <v>Reconciliations for FYE 2014</v>
      </c>
      <c r="P4" s="63"/>
      <c r="Q4" s="63"/>
      <c r="R4" s="63"/>
      <c r="S4" s="63"/>
      <c r="T4" s="63"/>
      <c r="U4" s="63"/>
      <c r="V4" s="63"/>
      <c r="W4" s="63"/>
      <c r="X4" s="63"/>
    </row>
    <row r="5" spans="1:24" s="28" customFormat="1" ht="12.75">
      <c r="A5" s="642" t="s">
        <v>43</v>
      </c>
      <c r="B5" s="340">
        <v>2014</v>
      </c>
      <c r="C5" s="341" t="str">
        <f ca="1">IF(ROUND($G$32,3)&lt;&gt;0,"Out of parity by "&amp;TEXT($G$32,"#,##0.000"),"You are in parity")</f>
        <v>You are in parity</v>
      </c>
      <c r="D5" s="30"/>
      <c r="E5" s="63"/>
      <c r="F5" s="342">
        <f>B5-1</f>
        <v>2013</v>
      </c>
      <c r="G5" s="342">
        <f>B5</f>
        <v>2014</v>
      </c>
      <c r="H5" s="343"/>
      <c r="I5" s="343" t="s">
        <v>189</v>
      </c>
      <c r="J5" s="343"/>
      <c r="K5" s="342">
        <f>B5</f>
        <v>2014</v>
      </c>
      <c r="L5" s="344"/>
      <c r="M5" s="337" t="s">
        <v>190</v>
      </c>
      <c r="N5" s="343"/>
      <c r="O5"/>
      <c r="P5"/>
      <c r="Q5"/>
      <c r="R5"/>
      <c r="S5"/>
      <c r="T5"/>
      <c r="U5"/>
      <c r="V5"/>
      <c r="W5"/>
      <c r="X5"/>
    </row>
    <row r="6" spans="1:24" s="28" customFormat="1" ht="12.75">
      <c r="A6" s="642"/>
      <c r="B6" s="63"/>
      <c r="C6" s="63"/>
      <c r="D6" s="63"/>
      <c r="E6" s="63"/>
      <c r="F6" s="345"/>
      <c r="G6" s="345"/>
      <c r="H6" s="343"/>
      <c r="I6" s="346"/>
      <c r="J6" s="343"/>
      <c r="K6" s="345"/>
      <c r="L6" s="347"/>
      <c r="M6" s="348"/>
      <c r="N6" s="145"/>
      <c r="O6" s="349" t="str">
        <f>B13</f>
        <v>PP&amp;E, net</v>
      </c>
      <c r="P6" s="350"/>
      <c r="Q6"/>
    </row>
    <row r="7" spans="1:24" s="28" customFormat="1" ht="12.75">
      <c r="A7" s="642"/>
      <c r="B7" s="351" t="str">
        <f>bs!B7</f>
        <v>Cash</v>
      </c>
      <c r="C7" s="351"/>
      <c r="D7" s="351"/>
      <c r="E7" s="351"/>
      <c r="F7" s="282">
        <f>LOOKUP($F$5,bs!$I$5:$P$5,bs!I7:P7)</f>
        <v>63</v>
      </c>
      <c r="G7" s="282">
        <f ca="1">LOOKUP($G$5,bs!$I$5:$P$5,bs!I7:P7)</f>
        <v>50</v>
      </c>
      <c r="H7" s="282"/>
      <c r="I7" s="352">
        <f ca="1">G7-F7</f>
        <v>-13</v>
      </c>
      <c r="J7" s="282"/>
      <c r="K7" s="282">
        <f ca="1">LOOKUP($G$5,cf!$L$5:$P$5,cf!L32:P32)</f>
        <v>-13</v>
      </c>
      <c r="L7" s="282"/>
      <c r="M7" s="353">
        <f ca="1">IF(ABS(I7-K7)&lt;0.001,0,I7-K7)</f>
        <v>0</v>
      </c>
      <c r="N7" s="353"/>
      <c r="O7" s="354" t="s">
        <v>186</v>
      </c>
      <c r="P7" s="355"/>
      <c r="Q7" s="356"/>
      <c r="S7" s="354" t="s">
        <v>188</v>
      </c>
      <c r="T7" s="355"/>
      <c r="U7" s="356"/>
    </row>
    <row r="8" spans="1:24" s="28" customFormat="1" ht="12.75">
      <c r="A8" s="642"/>
      <c r="B8" s="351" t="str">
        <f>bs!B8</f>
        <v>Accounts receivable, net</v>
      </c>
      <c r="C8" s="351"/>
      <c r="D8" s="351"/>
      <c r="E8" s="351"/>
      <c r="F8" s="311">
        <f>LOOKUP($F$5,bs!$I$5:$P$5,bs!I8:P8)</f>
        <v>495.5</v>
      </c>
      <c r="G8" s="311">
        <f>LOOKUP($G$5,bs!$I$5:$P$5,bs!I8:P8)</f>
        <v>511.07566027397257</v>
      </c>
      <c r="H8" s="311"/>
      <c r="I8" s="357">
        <f>F8-G8</f>
        <v>-15.575660273972574</v>
      </c>
      <c r="J8" s="311"/>
      <c r="K8" s="282"/>
      <c r="L8" s="282"/>
      <c r="M8" s="353"/>
      <c r="N8" s="353"/>
      <c r="O8" s="358" t="s">
        <v>191</v>
      </c>
      <c r="P8" s="359" t="s">
        <v>192</v>
      </c>
      <c r="Q8" s="81" t="s">
        <v>189</v>
      </c>
      <c r="S8" s="94" t="s">
        <v>193</v>
      </c>
      <c r="T8" s="94" t="s">
        <v>100</v>
      </c>
      <c r="U8" s="360" t="s">
        <v>194</v>
      </c>
    </row>
    <row r="9" spans="1:24" s="28" customFormat="1" ht="12.75">
      <c r="A9" s="642"/>
      <c r="B9" s="351" t="str">
        <f>bs!B9</f>
        <v>Inventories</v>
      </c>
      <c r="C9" s="351"/>
      <c r="D9" s="351"/>
      <c r="E9" s="351"/>
      <c r="F9" s="311">
        <f>LOOKUP($F$5,bs!$I$5:$P$5,bs!I9:P9)</f>
        <v>676.9</v>
      </c>
      <c r="G9" s="311">
        <f>LOOKUP($G$5,bs!$I$5:$P$5,bs!I9:P9)</f>
        <v>679.48390198356151</v>
      </c>
      <c r="H9" s="311"/>
      <c r="I9" s="361">
        <f>F9-G9</f>
        <v>-2.5839019835615318</v>
      </c>
      <c r="J9" s="311"/>
      <c r="K9" s="282"/>
      <c r="L9" s="282"/>
      <c r="M9" s="353"/>
      <c r="N9" s="353"/>
      <c r="O9" s="362">
        <f>LOOKUP($F$5,bs!$I$5:$P$5,bs!$I13:$P13)</f>
        <v>576.6</v>
      </c>
      <c r="P9" s="362">
        <f>LOOKUP($G$5,bs!$I$5:$P$5,bs!$I13:$P13)</f>
        <v>592.6</v>
      </c>
      <c r="Q9" s="363">
        <f>O9-P9</f>
        <v>-16</v>
      </c>
      <c r="S9" s="362">
        <f>LOOKUP($G$5,cf!$L$5:$P$5,cf!$L9:$P9)</f>
        <v>109</v>
      </c>
      <c r="T9" s="362">
        <f>LOOKUP($G$5,cf!$L$5:$P$5,cf!$L17:$P17)</f>
        <v>-125</v>
      </c>
      <c r="U9" s="363">
        <f>SUM(S9:T9)</f>
        <v>-16</v>
      </c>
    </row>
    <row r="10" spans="1:24" s="28" customFormat="1" ht="12.75">
      <c r="A10" s="642"/>
      <c r="B10" s="351" t="str">
        <f>bs!B10</f>
        <v>Other current assets</v>
      </c>
      <c r="C10" s="351"/>
      <c r="D10" s="351"/>
      <c r="E10" s="351"/>
      <c r="F10" s="311">
        <f>LOOKUP($F$5,bs!$I$5:$P$5,bs!I10:P10)</f>
        <v>134.80000000000001</v>
      </c>
      <c r="G10" s="311">
        <f>LOOKUP($G$5,bs!$I$5:$P$5,bs!I10:P10)</f>
        <v>141.51508799999999</v>
      </c>
      <c r="H10" s="311"/>
      <c r="I10" s="365">
        <f>F10-G10</f>
        <v>-6.7150879999999802</v>
      </c>
      <c r="J10" s="311"/>
      <c r="K10" s="282"/>
      <c r="L10" s="282"/>
      <c r="M10" s="353"/>
      <c r="N10" s="353"/>
      <c r="O10" s="16"/>
      <c r="P10"/>
      <c r="Q10"/>
      <c r="S10" s="63"/>
    </row>
    <row r="11" spans="1:24" s="28" customFormat="1" ht="12.75">
      <c r="A11" s="642"/>
      <c r="C11" s="351"/>
      <c r="D11" s="351"/>
      <c r="E11" s="351"/>
      <c r="F11" s="311"/>
      <c r="H11" s="366" t="s">
        <v>195</v>
      </c>
      <c r="I11" s="367">
        <f>SUM(I8:I10)</f>
        <v>-24.874650257534086</v>
      </c>
      <c r="J11" s="311"/>
      <c r="K11"/>
      <c r="L11" s="12"/>
      <c r="M11" s="368"/>
      <c r="N11" s="368"/>
      <c r="O11" s="391" t="str">
        <f>B14</f>
        <v>Definite life intangibles</v>
      </c>
      <c r="P11" s="350"/>
      <c r="Q11"/>
    </row>
    <row r="12" spans="1:24" s="28" customFormat="1" ht="12.75">
      <c r="A12" s="642"/>
      <c r="B12" s="351"/>
      <c r="C12" s="351"/>
      <c r="D12" s="351"/>
      <c r="E12" s="351"/>
      <c r="F12" s="311"/>
      <c r="G12" s="311"/>
      <c r="H12" s="311"/>
      <c r="I12" s="369"/>
      <c r="J12" s="311"/>
      <c r="K12" s="311"/>
      <c r="L12" s="282"/>
      <c r="M12" s="353"/>
      <c r="N12" s="353"/>
      <c r="O12" s="354" t="s">
        <v>186</v>
      </c>
      <c r="P12" s="355"/>
      <c r="Q12" s="356"/>
      <c r="S12" s="354" t="s">
        <v>188</v>
      </c>
      <c r="T12" s="355"/>
      <c r="U12" s="356"/>
    </row>
    <row r="13" spans="1:24" s="28" customFormat="1" ht="12.75">
      <c r="A13" s="642"/>
      <c r="B13" s="351" t="str">
        <f>bs!B13</f>
        <v>PP&amp;E, net</v>
      </c>
      <c r="C13" s="351"/>
      <c r="D13" s="351"/>
      <c r="E13" s="351"/>
      <c r="F13" s="311">
        <f>LOOKUP($F$5,bs!$I$5:$P$5,bs!I13:P13)</f>
        <v>576.6</v>
      </c>
      <c r="G13" s="311">
        <f>LOOKUP($G$5,bs!$I$5:$P$5,bs!I13:P13)</f>
        <v>592.6</v>
      </c>
      <c r="H13" s="311"/>
      <c r="I13" s="369">
        <f t="shared" ref="I13:I18" si="0">F13-G13</f>
        <v>-16</v>
      </c>
      <c r="J13" s="311"/>
      <c r="K13" s="369">
        <f>U9</f>
        <v>-16</v>
      </c>
      <c r="L13" s="352"/>
      <c r="M13" s="353">
        <f t="shared" ref="M13:M18" si="1">IF(ABS(I13-K13)&lt;0.001,0,I13-K13)</f>
        <v>0</v>
      </c>
      <c r="N13" s="353"/>
      <c r="O13" s="358" t="s">
        <v>191</v>
      </c>
      <c r="P13" s="359" t="s">
        <v>192</v>
      </c>
      <c r="Q13" s="81" t="s">
        <v>189</v>
      </c>
      <c r="S13" s="405" t="s">
        <v>206</v>
      </c>
      <c r="T13" s="94" t="s">
        <v>169</v>
      </c>
      <c r="U13" s="360" t="s">
        <v>194</v>
      </c>
    </row>
    <row r="14" spans="1:24" s="28" customFormat="1" ht="12.75">
      <c r="A14" s="642"/>
      <c r="B14" s="370" t="str">
        <f>bs!B14</f>
        <v>Definite life intangibles</v>
      </c>
      <c r="C14" s="351"/>
      <c r="D14" s="351"/>
      <c r="E14" s="351"/>
      <c r="F14" s="311">
        <f>LOOKUP($F$5,bs!$I$5:$P$5,bs!I14:P14)</f>
        <v>63.7</v>
      </c>
      <c r="G14" s="311">
        <f>LOOKUP($G$5,bs!$I$5:$P$5,bs!I14:P14)</f>
        <v>64.7</v>
      </c>
      <c r="H14" s="311"/>
      <c r="I14" s="369">
        <f t="shared" si="0"/>
        <v>-1</v>
      </c>
      <c r="J14" s="311"/>
      <c r="K14" s="369">
        <f>U14</f>
        <v>-1</v>
      </c>
      <c r="L14" s="282"/>
      <c r="M14" s="353">
        <f t="shared" si="1"/>
        <v>0</v>
      </c>
      <c r="N14" s="353"/>
      <c r="O14" s="362">
        <f>LOOKUP($F$5,bs!$I$5:$P$5,bs!$I14:$P14)</f>
        <v>63.7</v>
      </c>
      <c r="P14" s="362">
        <f>LOOKUP($G$5,bs!$I$5:$P$5,bs!$I14:$P14)</f>
        <v>64.7</v>
      </c>
      <c r="Q14" s="363">
        <f>O14-P14</f>
        <v>-1</v>
      </c>
      <c r="S14" s="362">
        <f>LOOKUP($G$5,cf!$L$5:$P$5,cf!$L10:$P10)</f>
        <v>4</v>
      </c>
      <c r="T14" s="362">
        <f>LOOKUP($G$5,cf!$L$5:$P$5,cf!$L18:$P18)</f>
        <v>-5</v>
      </c>
      <c r="U14" s="363">
        <f>SUM(S14:T14)</f>
        <v>-1</v>
      </c>
    </row>
    <row r="15" spans="1:24" s="28" customFormat="1" ht="12.75">
      <c r="A15" s="642"/>
      <c r="B15" s="370" t="str">
        <f>bs!B15</f>
        <v>Indefinite life intangibles</v>
      </c>
      <c r="C15" s="351"/>
      <c r="D15" s="351"/>
      <c r="E15" s="351"/>
      <c r="F15" s="311">
        <f>LOOKUP($F$5,bs!$I$5:$P$5,bs!I15:P15)</f>
        <v>269.7</v>
      </c>
      <c r="G15" s="311">
        <f>LOOKUP($G$5,bs!$I$5:$P$5,bs!I15:P15)</f>
        <v>269.7</v>
      </c>
      <c r="H15" s="311"/>
      <c r="I15" s="369">
        <f t="shared" si="0"/>
        <v>0</v>
      </c>
      <c r="J15" s="311"/>
      <c r="K15" s="282">
        <f>LOOKUP($G$5,cf!$L$5:$P$5,other!$L$12:$P$12)</f>
        <v>0</v>
      </c>
      <c r="L15" s="282"/>
      <c r="M15" s="353">
        <f t="shared" si="1"/>
        <v>0</v>
      </c>
      <c r="N15" s="353"/>
    </row>
    <row r="16" spans="1:24" s="28" customFormat="1" ht="12.75">
      <c r="A16" s="642"/>
      <c r="B16" s="371" t="str">
        <f>bs!B16</f>
        <v>Goodwill</v>
      </c>
      <c r="C16" s="371"/>
      <c r="D16" s="371"/>
      <c r="E16" s="371"/>
      <c r="F16" s="282">
        <f>LOOKUP($F$5,bs!$I$5:$P$5,bs!I16:P16)</f>
        <v>1798.5</v>
      </c>
      <c r="G16" s="282">
        <f>LOOKUP($G$5,bs!$I$5:$P$5,bs!I16:P16)</f>
        <v>1798.5</v>
      </c>
      <c r="H16" s="282"/>
      <c r="I16" s="352">
        <f t="shared" si="0"/>
        <v>0</v>
      </c>
      <c r="J16" s="282"/>
      <c r="K16" s="282">
        <f>LOOKUP($G$5,cf!$L$5:$P$5,other!$L$12:$P$12)</f>
        <v>0</v>
      </c>
      <c r="L16" s="282"/>
      <c r="M16" s="353">
        <f t="shared" si="1"/>
        <v>0</v>
      </c>
      <c r="N16" s="353"/>
      <c r="O16" s="349" t="str">
        <f>B29</f>
        <v>Long-term debt</v>
      </c>
      <c r="P16" s="350"/>
      <c r="Q16"/>
    </row>
    <row r="17" spans="1:24" s="28" customFormat="1" ht="12.75">
      <c r="A17" s="642"/>
      <c r="B17" s="371" t="str">
        <f>bs!B17</f>
        <v>Other long-term assets</v>
      </c>
      <c r="C17" s="371"/>
      <c r="D17" s="371"/>
      <c r="E17" s="371"/>
      <c r="F17" s="282">
        <f>LOOKUP($F$5,bs!$I$5:$P$5,bs!I17:P17)</f>
        <v>210.4</v>
      </c>
      <c r="G17" s="282">
        <f>LOOKUP($G$5,bs!$I$5:$P$5,bs!I17:P17)</f>
        <v>210.4</v>
      </c>
      <c r="H17" s="282"/>
      <c r="I17" s="352">
        <f t="shared" si="0"/>
        <v>0</v>
      </c>
      <c r="J17" s="282"/>
      <c r="K17" s="282">
        <f>LOOKUP($G$5,cf!$L$5:$P$5,other!$L$12:$P$12)</f>
        <v>0</v>
      </c>
      <c r="L17" s="282"/>
      <c r="M17" s="353">
        <f t="shared" si="1"/>
        <v>0</v>
      </c>
      <c r="N17" s="368"/>
      <c r="O17" s="354" t="s">
        <v>186</v>
      </c>
      <c r="P17" s="355"/>
      <c r="Q17" s="356"/>
      <c r="S17" s="354" t="s">
        <v>188</v>
      </c>
      <c r="T17" s="355"/>
      <c r="U17" s="356"/>
      <c r="V17"/>
    </row>
    <row r="18" spans="1:24" s="28" customFormat="1" ht="12.75">
      <c r="A18" s="642"/>
      <c r="B18" s="371" t="str">
        <f>bs!B18</f>
        <v>Equity in affiliates</v>
      </c>
      <c r="C18" s="351"/>
      <c r="D18" s="351"/>
      <c r="E18" s="351"/>
      <c r="F18" s="311">
        <f>LOOKUP($F$5,bs!$I$5:$P$5,bs!I18:P18)</f>
        <v>160.6</v>
      </c>
      <c r="G18" s="282">
        <f>LOOKUP($G$5,bs!$I$5:$P$5,bs!I18:P18)</f>
        <v>169.94499999999999</v>
      </c>
      <c r="H18" s="311"/>
      <c r="I18" s="352">
        <f t="shared" si="0"/>
        <v>-9.3449999999999989</v>
      </c>
      <c r="J18" s="282"/>
      <c r="K18" s="282">
        <f>LOOKUP($G$5,cf!$L$5:$P$5,cf!L11:P11)</f>
        <v>-9.3449999999999989</v>
      </c>
      <c r="L18" s="282"/>
      <c r="M18" s="353">
        <f t="shared" si="1"/>
        <v>0</v>
      </c>
      <c r="N18" s="353"/>
      <c r="O18" s="358" t="s">
        <v>191</v>
      </c>
      <c r="P18" s="359" t="s">
        <v>192</v>
      </c>
      <c r="Q18" s="81" t="s">
        <v>189</v>
      </c>
      <c r="S18" s="94" t="s">
        <v>95</v>
      </c>
      <c r="T18" s="94" t="s">
        <v>196</v>
      </c>
      <c r="U18" s="360" t="s">
        <v>194</v>
      </c>
      <c r="W18"/>
      <c r="X18"/>
    </row>
    <row r="19" spans="1:24" s="28" customFormat="1" ht="12.75">
      <c r="A19" s="642"/>
      <c r="B19" s="371"/>
      <c r="C19" s="351"/>
      <c r="D19" s="351"/>
      <c r="E19" s="351"/>
      <c r="F19" s="311"/>
      <c r="G19" s="311"/>
      <c r="H19" s="311"/>
      <c r="I19" s="369"/>
      <c r="J19" s="311"/>
      <c r="K19" s="272"/>
      <c r="L19" s="372"/>
      <c r="M19" s="353"/>
      <c r="N19" s="353"/>
      <c r="O19" s="362">
        <f>LOOKUP($F$5,bs!$I$5:$P$5,bs!I26:P26)</f>
        <v>1021.5</v>
      </c>
      <c r="P19" s="362">
        <f>LOOKUP($G$5,bs!$I$5:$P$5,bs!I26:P26)</f>
        <v>1019</v>
      </c>
      <c r="Q19" s="363">
        <f>P19-O19</f>
        <v>-2.5</v>
      </c>
      <c r="S19" s="362">
        <f>LOOKUP($G$5,cf!$L$5:$P$5,cf!L25:P25)</f>
        <v>0</v>
      </c>
      <c r="T19" s="362">
        <f>LOOKUP($G$5,cf!$L$5:$P$5,cf!L26:P26)</f>
        <v>-2.5</v>
      </c>
      <c r="U19" s="363">
        <f>SUM(S19:T19)</f>
        <v>-2.5</v>
      </c>
      <c r="W19"/>
      <c r="X19"/>
    </row>
    <row r="20" spans="1:24" s="28" customFormat="1" ht="12.75">
      <c r="A20" s="642"/>
      <c r="B20" s="351" t="str">
        <f>bs!B21</f>
        <v>Accounts payable</v>
      </c>
      <c r="C20" s="351"/>
      <c r="D20" s="351"/>
      <c r="E20" s="351"/>
      <c r="F20" s="311">
        <f>LOOKUP($F$5,bs!$I$5:$P$5,bs!I21:P21)</f>
        <v>387.3</v>
      </c>
      <c r="G20" s="311">
        <f>LOOKUP($G$5,bs!$I$5:$P$5,bs!I21:P21)</f>
        <v>399.6964129315067</v>
      </c>
      <c r="H20" s="311"/>
      <c r="I20" s="357">
        <f>G20-F20</f>
        <v>12.396412931506688</v>
      </c>
      <c r="J20" s="311"/>
      <c r="K20" s="282"/>
      <c r="L20" s="282"/>
      <c r="M20" s="353"/>
      <c r="N20" s="353"/>
      <c r="O20" s="362"/>
      <c r="P20" s="362"/>
      <c r="Q20" s="363"/>
      <c r="S20" s="364"/>
      <c r="T20" s="364"/>
      <c r="U20" s="363"/>
      <c r="W20"/>
      <c r="X20"/>
    </row>
    <row r="21" spans="1:24" s="28" customFormat="1" ht="12.75">
      <c r="A21" s="642"/>
      <c r="B21" s="351" t="str">
        <f>bs!B22</f>
        <v>Other current liabilities</v>
      </c>
      <c r="C21" s="351"/>
      <c r="D21" s="351"/>
      <c r="E21" s="351"/>
      <c r="F21" s="311">
        <f>LOOKUP($F$5,bs!$I$5:$P$5,bs!I22:P22)</f>
        <v>461.7</v>
      </c>
      <c r="G21" s="311">
        <f>LOOKUP($G$5,bs!$I$5:$P$5,bs!I22:P22)</f>
        <v>461.98243727999989</v>
      </c>
      <c r="H21" s="311"/>
      <c r="I21" s="365">
        <f>G21-F21</f>
        <v>0.28243727999989687</v>
      </c>
      <c r="J21" s="311"/>
      <c r="K21" s="282"/>
      <c r="L21" s="282"/>
      <c r="M21" s="353"/>
      <c r="N21" s="353"/>
      <c r="O21" s="349" t="str">
        <f>B31</f>
        <v>Total stockholders' equity</v>
      </c>
      <c r="P21" s="350"/>
      <c r="Q21"/>
      <c r="S21" s="63"/>
    </row>
    <row r="22" spans="1:24" s="28" customFormat="1" ht="12.75">
      <c r="A22" s="642"/>
      <c r="J22" s="311"/>
      <c r="K22" s="282"/>
      <c r="L22" s="282"/>
      <c r="M22" s="368"/>
      <c r="N22" s="368"/>
      <c r="O22" s="354" t="s">
        <v>186</v>
      </c>
      <c r="P22" s="355"/>
      <c r="Q22" s="356"/>
      <c r="S22" s="354" t="s">
        <v>188</v>
      </c>
      <c r="T22" s="355"/>
      <c r="U22" s="356"/>
      <c r="V22" s="373"/>
      <c r="W22" s="373"/>
      <c r="X22" s="218"/>
    </row>
    <row r="23" spans="1:24" s="28" customFormat="1" ht="12.75">
      <c r="A23" s="642"/>
      <c r="B23" s="351"/>
      <c r="C23" s="351"/>
      <c r="D23" s="351"/>
      <c r="E23" s="351"/>
      <c r="F23" s="311"/>
      <c r="J23" s="311"/>
      <c r="K23" s="282"/>
      <c r="L23" s="282"/>
      <c r="M23" s="368"/>
      <c r="N23" s="368"/>
      <c r="O23" s="358" t="s">
        <v>191</v>
      </c>
      <c r="P23" s="359" t="s">
        <v>192</v>
      </c>
      <c r="Q23" s="81" t="s">
        <v>189</v>
      </c>
      <c r="S23" s="374" t="s">
        <v>197</v>
      </c>
      <c r="T23" s="94" t="s">
        <v>8</v>
      </c>
      <c r="U23" s="94" t="s">
        <v>198</v>
      </c>
      <c r="V23" s="94" t="s">
        <v>199</v>
      </c>
      <c r="W23" s="94" t="s">
        <v>200</v>
      </c>
      <c r="X23" s="93" t="s">
        <v>194</v>
      </c>
    </row>
    <row r="24" spans="1:24" s="28" customFormat="1" ht="12.75">
      <c r="A24" s="642"/>
      <c r="B24" s="375" t="s">
        <v>201</v>
      </c>
      <c r="C24" s="351"/>
      <c r="D24" s="351"/>
      <c r="E24" s="351"/>
      <c r="F24" s="311"/>
      <c r="H24" s="366" t="s">
        <v>195</v>
      </c>
      <c r="I24" s="376">
        <f>I11</f>
        <v>-24.874650257534086</v>
      </c>
      <c r="J24" s="311"/>
      <c r="L24" s="29"/>
      <c r="M24" s="368"/>
      <c r="N24" s="353"/>
      <c r="O24" s="377">
        <f>LOOKUP($F$5,bs!$I$5:$P$5,bs!I30:P30)</f>
        <v>1947.7</v>
      </c>
      <c r="P24" s="362">
        <f ca="1">LOOKUP($G$5,bs!$I$5:$P$5,bs!I30:P30)</f>
        <v>2122.6747941087633</v>
      </c>
      <c r="Q24" s="378">
        <f ca="1">P24-O24</f>
        <v>174.97479410876326</v>
      </c>
      <c r="S24" s="377">
        <f ca="1">LOOKUP($G$5,cf!$L$5:$P$5,cf!$L7:$P7)</f>
        <v>444.21498382996754</v>
      </c>
      <c r="T24" s="362">
        <f ca="1">LOOKUP($G$5,cf!$L$5:$P$5,cf!$L28:$P28)</f>
        <v>-199.8967427234854</v>
      </c>
      <c r="U24" s="362">
        <f>LOOKUP($G$5,cf!$L$5:$P$5,cf!$L8:$P8)</f>
        <v>18.7</v>
      </c>
      <c r="V24" s="362">
        <f ca="1">LOOKUP($G$5,cf!$L$5:$P$5,cf!$L27:$P27)</f>
        <v>-159.6384469977186</v>
      </c>
      <c r="W24" s="362">
        <f>LOOKUP($G$5,cf!$L$5:$P$5,cf!$L29:$P29)</f>
        <v>71.594999999999999</v>
      </c>
      <c r="X24" s="378">
        <f ca="1">SUM(S24:W24)</f>
        <v>174.97479410876355</v>
      </c>
    </row>
    <row r="25" spans="1:24" s="28" customFormat="1" ht="12.75">
      <c r="A25" s="642"/>
      <c r="B25" s="379"/>
      <c r="C25" s="351"/>
      <c r="D25" s="351"/>
      <c r="E25" s="351"/>
      <c r="F25" s="311"/>
      <c r="H25" s="380" t="s">
        <v>202</v>
      </c>
      <c r="I25" s="376">
        <f>SUM(I20:I21)</f>
        <v>12.678850211506585</v>
      </c>
      <c r="N25" s="353"/>
    </row>
    <row r="26" spans="1:24" s="28" customFormat="1" ht="12.75">
      <c r="A26" s="642"/>
      <c r="B26" s="379"/>
      <c r="C26" s="351"/>
      <c r="D26" s="351"/>
      <c r="E26" s="351"/>
      <c r="F26" s="311"/>
      <c r="G26" s="381"/>
      <c r="H26" s="382" t="s">
        <v>203</v>
      </c>
      <c r="I26" s="383">
        <f>SUM(I24:I25)</f>
        <v>-12.1958000460275</v>
      </c>
      <c r="J26" s="311"/>
      <c r="K26" s="384">
        <f>LOOKUP($G$5,cf!$L$5:$P$5,cf!$L$12:$P$12)</f>
        <v>-12.195800046027216</v>
      </c>
      <c r="L26" s="282"/>
      <c r="M26" s="353">
        <f>IF(ABS(I26-K26)&lt;0.001,0,I26-K26)</f>
        <v>0</v>
      </c>
      <c r="N26" s="353"/>
    </row>
    <row r="27" spans="1:24" s="28" customFormat="1" ht="12.75">
      <c r="A27" s="642"/>
      <c r="B27" s="379"/>
      <c r="C27" s="351"/>
      <c r="D27" s="351"/>
      <c r="E27" s="351"/>
      <c r="F27" s="311"/>
      <c r="G27" s="381"/>
      <c r="H27" s="382"/>
      <c r="I27" s="385"/>
      <c r="J27" s="311"/>
      <c r="K27" s="282"/>
      <c r="L27" s="282"/>
      <c r="M27" s="353"/>
      <c r="N27" s="353"/>
    </row>
    <row r="28" spans="1:24" s="28" customFormat="1" ht="12.75">
      <c r="A28" s="642"/>
      <c r="B28" s="351" t="str">
        <f>bs!B25</f>
        <v>Revolver</v>
      </c>
      <c r="C28" s="351"/>
      <c r="D28" s="351"/>
      <c r="E28" s="351"/>
      <c r="F28" s="311">
        <f>LOOKUP($F$5,bs!$I$5:$P$5,bs!I25:P25)</f>
        <v>211.6</v>
      </c>
      <c r="G28" s="311">
        <f ca="1">LOOKUP($G$5,bs!$I$5:$P$5,bs!I25:P25)</f>
        <v>64.666005937263748</v>
      </c>
      <c r="H28" s="311"/>
      <c r="I28" s="369">
        <f ca="1">G28-F28</f>
        <v>-146.93399406273625</v>
      </c>
      <c r="J28" s="311"/>
      <c r="K28" s="311">
        <f ca="1">LOOKUP($G$5,cf!$L$5:$P$5,cf!L24:P24)</f>
        <v>-146.93399406273625</v>
      </c>
      <c r="L28" s="282"/>
      <c r="M28" s="353">
        <f ca="1">IF(ABS(I28-K28)&lt;0.001,0,I28-K28)</f>
        <v>0</v>
      </c>
      <c r="N28" s="353"/>
    </row>
    <row r="29" spans="1:24" s="28" customFormat="1" ht="12.75">
      <c r="A29" s="642"/>
      <c r="B29" s="351" t="str">
        <f>bs!B26</f>
        <v>Long-term debt</v>
      </c>
      <c r="C29" s="351"/>
      <c r="D29" s="351"/>
      <c r="E29" s="351"/>
      <c r="F29" s="311">
        <f>LOOKUP($F$5,bs!$I$5:$P$5,bs!I26:P26)</f>
        <v>1021.5</v>
      </c>
      <c r="G29" s="311">
        <f>LOOKUP($G$5,bs!$I$5:$P$5,bs!I26:P26)</f>
        <v>1019</v>
      </c>
      <c r="H29" s="311"/>
      <c r="I29" s="369">
        <f>G29-F29</f>
        <v>-2.5</v>
      </c>
      <c r="J29" s="311"/>
      <c r="K29" s="369">
        <f>U19</f>
        <v>-2.5</v>
      </c>
      <c r="L29" s="282"/>
      <c r="M29" s="353">
        <f>IF(ABS(I29-K29)&lt;0.001,0,I29-K29)</f>
        <v>0</v>
      </c>
      <c r="N29" s="368"/>
    </row>
    <row r="30" spans="1:24" s="28" customFormat="1" ht="12.75">
      <c r="A30" s="642"/>
      <c r="B30" s="351" t="str">
        <f>bs!B27</f>
        <v>Other long-term liabilities</v>
      </c>
      <c r="C30" s="351"/>
      <c r="D30" s="351"/>
      <c r="E30" s="351"/>
      <c r="F30" s="311">
        <f>LOOKUP($F$5,bs!$I$5:$P$5,bs!I27:P27)</f>
        <v>419.9</v>
      </c>
      <c r="G30" s="311">
        <f>LOOKUP($G$5,bs!$I$5:$P$5,bs!I27:P27)</f>
        <v>419.9</v>
      </c>
      <c r="H30" s="311"/>
      <c r="I30" s="369">
        <f>G30-F30</f>
        <v>0</v>
      </c>
      <c r="J30" s="311"/>
      <c r="K30" s="282">
        <f>LOOKUP($G$5,cf!$L$5:$P$5,other!$L$17:$P$17)</f>
        <v>0</v>
      </c>
      <c r="L30" s="282"/>
      <c r="M30" s="353">
        <f>IF(ABS(I30-K30)&lt;0.001,0,I30-K30)</f>
        <v>0</v>
      </c>
      <c r="N30" s="386"/>
      <c r="O30"/>
      <c r="P30"/>
      <c r="Q30"/>
      <c r="R30"/>
    </row>
    <row r="31" spans="1:24" s="28" customFormat="1" ht="12.75">
      <c r="A31" s="642"/>
      <c r="B31" s="351" t="str">
        <f>bs!B30</f>
        <v>Total stockholders' equity</v>
      </c>
      <c r="C31" s="351"/>
      <c r="D31" s="351"/>
      <c r="E31" s="351"/>
      <c r="F31" s="311">
        <f>LOOKUP($F$5,bs!$I$5:$P$5,bs!I30:P30)</f>
        <v>1947.7</v>
      </c>
      <c r="G31" s="311">
        <f ca="1">LOOKUP($G$5,bs!$I$5:$P$5,bs!I30:P30)</f>
        <v>2122.6747941087633</v>
      </c>
      <c r="H31" s="311"/>
      <c r="I31" s="369">
        <f ca="1">G31-F31</f>
        <v>174.97479410876326</v>
      </c>
      <c r="J31" s="311"/>
      <c r="K31" s="369">
        <f ca="1">X24</f>
        <v>174.97479410876355</v>
      </c>
      <c r="L31" s="352"/>
      <c r="M31" s="353">
        <f ca="1">IF(ABS(I31-K31)&lt;0.001,0,I31-K31)</f>
        <v>0</v>
      </c>
      <c r="N31" s="386"/>
      <c r="O31"/>
      <c r="P31"/>
      <c r="Q31"/>
      <c r="R31"/>
      <c r="S31" s="343"/>
      <c r="T31"/>
      <c r="U31"/>
      <c r="V31"/>
      <c r="W31"/>
    </row>
    <row r="32" spans="1:24" s="28" customFormat="1" ht="12.75">
      <c r="A32" s="642"/>
      <c r="B32" s="63"/>
      <c r="C32" s="63"/>
      <c r="D32" s="63"/>
      <c r="E32" s="387" t="s">
        <v>204</v>
      </c>
      <c r="F32" s="388">
        <f>ROUND(SUM(F7:F18)-SUM(F20:F31),3)</f>
        <v>0</v>
      </c>
      <c r="G32" s="388">
        <f ca="1">ROUND(SUM(G7:G18)-SUM(G20:G31),3)</f>
        <v>0</v>
      </c>
      <c r="H32" s="388"/>
      <c r="I32" s="388">
        <f ca="1">IF(ABS(SUM(I28:I31,I26,I13:I18,I7))&gt;0.001,SUM(I28:I31,I26,I13:I18,I7),0)</f>
        <v>-26.000000000000483</v>
      </c>
      <c r="J32" s="388"/>
      <c r="K32" s="388">
        <f ca="1">IF(ABS(SUM(K7:K31))&gt;0.001,SUM(K7:K31),0)</f>
        <v>-25.999999999999915</v>
      </c>
      <c r="L32" s="389"/>
      <c r="M32" s="386"/>
      <c r="N32" s="63"/>
      <c r="O32"/>
      <c r="P32"/>
      <c r="Q32"/>
      <c r="R32"/>
      <c r="S32" s="63"/>
      <c r="T32"/>
      <c r="U32"/>
      <c r="V32"/>
      <c r="W32"/>
    </row>
    <row r="33" spans="1:23" s="28" customFormat="1" ht="12.75">
      <c r="A33" s="642"/>
      <c r="B33" s="63"/>
      <c r="C33" s="63"/>
      <c r="D33" s="63"/>
      <c r="E33" s="63"/>
      <c r="F33" s="390" t="str">
        <f ca="1">IF(AND(ROUND(I32,3)=ROUND(K32,3),F32&lt;&gt;G32),"Check your totals on your Cash Flow","")</f>
        <v/>
      </c>
      <c r="G33" s="369"/>
      <c r="H33" s="369"/>
      <c r="I33" s="369"/>
      <c r="J33" s="369"/>
      <c r="K33" s="369"/>
      <c r="L33" s="352"/>
      <c r="M33" s="63"/>
      <c r="N33" s="63"/>
      <c r="O33"/>
      <c r="P33"/>
      <c r="Q33"/>
      <c r="R33"/>
      <c r="S33" s="63"/>
      <c r="T33"/>
      <c r="U33"/>
      <c r="V33"/>
      <c r="W33"/>
    </row>
    <row r="34" spans="1:23" s="28" customFormat="1" ht="12.75">
      <c r="A34" s="642" t="s">
        <v>43</v>
      </c>
      <c r="B34" s="63"/>
      <c r="C34" s="63"/>
      <c r="D34" s="63"/>
      <c r="E34" s="63"/>
      <c r="F34" s="390" t="str">
        <f ca="1">IF(ROUND(-G32,3)&lt;&gt;ROUND(LOOKUP($G$5,bs!$I$5:$P$5,bs!I31:P31),3),"Check your totals on your Balance Sheet","")</f>
        <v/>
      </c>
      <c r="G34" s="369"/>
      <c r="H34" s="369"/>
      <c r="I34"/>
      <c r="J34" s="369"/>
      <c r="K34" s="369"/>
      <c r="L34" s="352"/>
      <c r="M34" s="63"/>
      <c r="N34" s="63"/>
      <c r="O34"/>
      <c r="P34"/>
      <c r="Q34"/>
      <c r="R34"/>
      <c r="S34" s="63"/>
      <c r="T34"/>
      <c r="U34"/>
      <c r="V34"/>
      <c r="W34"/>
    </row>
    <row r="35" spans="1:23" s="28" customFormat="1" ht="12.75">
      <c r="A35" s="642"/>
      <c r="B35" s="63"/>
      <c r="C35" s="63"/>
      <c r="D35" s="63"/>
      <c r="E35" s="63"/>
      <c r="F35" s="63"/>
      <c r="G35" s="63"/>
      <c r="H35" s="63"/>
      <c r="I35"/>
      <c r="J35" s="63"/>
      <c r="K35" s="63"/>
      <c r="L35" s="145"/>
      <c r="M35" s="63"/>
      <c r="R35" s="63"/>
      <c r="S35" s="63"/>
      <c r="T35"/>
      <c r="U35"/>
      <c r="V35"/>
      <c r="W35"/>
    </row>
    <row r="36" spans="1:23" s="28" customFormat="1" ht="12.75">
      <c r="A36" s="642"/>
      <c r="L36" s="29"/>
      <c r="S36" s="63"/>
      <c r="T36"/>
      <c r="U36"/>
      <c r="V36"/>
      <c r="W36"/>
    </row>
    <row r="37" spans="1:23" s="28" customFormat="1" ht="12.75">
      <c r="A37" s="642"/>
      <c r="L37" s="29"/>
      <c r="T37"/>
      <c r="U37"/>
      <c r="V37"/>
      <c r="W37"/>
    </row>
    <row r="38" spans="1:23" s="28" customFormat="1" ht="12.75">
      <c r="A38" s="642" t="s">
        <v>43</v>
      </c>
      <c r="B38" s="68" t="s">
        <v>49</v>
      </c>
      <c r="F38" s="313"/>
      <c r="G38" s="313"/>
      <c r="H38" s="313"/>
      <c r="I38" s="136"/>
      <c r="J38" s="136"/>
      <c r="K38" s="313"/>
      <c r="T38"/>
      <c r="U38"/>
      <c r="V38"/>
      <c r="W38"/>
    </row>
  </sheetData>
  <phoneticPr fontId="64" type="noConversion"/>
  <conditionalFormatting sqref="F32:G32">
    <cfRule type="cellIs" dxfId="1" priority="2" stopIfTrue="1" operator="greaterThan">
      <formula>0</formula>
    </cfRule>
  </conditionalFormatting>
  <conditionalFormatting sqref="M26:M31 N7:N29 M7:M24">
    <cfRule type="cellIs" dxfId="0" priority="1" stopIfTrue="1" operator="notEqual">
      <formula>0</formula>
    </cfRule>
  </conditionalFormatting>
  <pageMargins left="0.5" right="0.5" top="0.5" bottom="0.65" header="0.25" footer="0.25"/>
  <pageSetup scale="62" orientation="landscape" r:id="rId1"/>
  <headerFooter alignWithMargins="0">
    <oddFooter>&amp;C&amp;8&amp;G&amp;R&amp;8For training purposes only!&amp;L&amp;8COPYRIGHT 2017 © by Training The Street, Inc</oddFooter>
  </headerFooter>
  <legacyDrawing r:id="rId2"/>
  <legacyDrawingHF r:id="rId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autoPageBreaks="0" fitToPage="1"/>
  </sheetPr>
  <dimension ref="A1:R95"/>
  <sheetViews>
    <sheetView showGridLines="0" showOutlineSymbols="0" zoomScaleSheetLayoutView="100" workbookViewId="0"/>
  </sheetViews>
  <sheetFormatPr defaultColWidth="8.85546875" defaultRowHeight="13.15" customHeight="1" outlineLevelRow="2"/>
  <cols>
    <col min="1" max="1" width="1.7109375" style="642" customWidth="1" collapsed="1"/>
    <col min="2" max="3" width="2.7109375" customWidth="1"/>
    <col min="5" max="7" width="7.7109375" customWidth="1"/>
    <col min="8" max="16" width="10.7109375" customWidth="1"/>
    <col min="17" max="17" width="1.7109375" customWidth="1"/>
    <col min="18" max="18" width="13.7109375" bestFit="1" customWidth="1"/>
  </cols>
  <sheetData>
    <row r="1" spans="1:18" ht="18.75" customHeight="1" thickBot="1">
      <c r="B1" s="14" t="str">
        <f>"Ratios Analysis for "&amp;name</f>
        <v>Ratios Analysis for McCormick &amp; Co. Inc.</v>
      </c>
      <c r="C1" s="7"/>
      <c r="D1" s="73"/>
      <c r="E1" s="73"/>
      <c r="F1" s="73"/>
      <c r="G1" s="73"/>
      <c r="H1" s="73"/>
      <c r="I1" s="73"/>
      <c r="J1" s="147"/>
      <c r="K1" s="147"/>
      <c r="L1" s="73"/>
      <c r="R1" s="334"/>
    </row>
    <row r="2" spans="1:18" ht="12.75">
      <c r="B2" s="2" t="str">
        <f>Subheader</f>
        <v>Dollars in millions, except per share data</v>
      </c>
      <c r="C2" s="2"/>
      <c r="D2" s="149"/>
      <c r="E2" s="149"/>
      <c r="F2" s="149"/>
      <c r="G2" s="149"/>
      <c r="H2" s="149"/>
      <c r="I2" s="149"/>
      <c r="J2" s="149"/>
      <c r="K2" s="149"/>
      <c r="L2" s="149"/>
      <c r="M2" s="149"/>
      <c r="N2" s="149"/>
      <c r="O2" s="149"/>
      <c r="P2" s="149"/>
      <c r="Q2" s="149"/>
      <c r="R2" s="149"/>
    </row>
    <row r="3" spans="1:18" ht="12.75">
      <c r="B3" s="73"/>
      <c r="I3" s="150" t="str">
        <f>is!I4</f>
        <v>Historical Year Ending November 30,</v>
      </c>
      <c r="J3" s="151"/>
      <c r="K3" s="151"/>
      <c r="L3" s="478" t="str">
        <f>is!L4</f>
        <v>Projected Year Ending November 30,</v>
      </c>
      <c r="M3" s="152"/>
      <c r="N3" s="152"/>
      <c r="O3" s="152"/>
      <c r="P3" s="153"/>
      <c r="R3" s="211" t="str">
        <f>is!R3</f>
        <v>2013 - 2018</v>
      </c>
    </row>
    <row r="4" spans="1:18" ht="13.15" customHeight="1">
      <c r="C4" s="73"/>
      <c r="H4" s="154"/>
      <c r="I4" s="155" t="str">
        <f>"     "&amp;is!I$5&amp;"    "</f>
        <v xml:space="preserve">     2011    </v>
      </c>
      <c r="J4" s="155" t="str">
        <f>"     "&amp;is!J$5&amp;"    "</f>
        <v xml:space="preserve">     2012    </v>
      </c>
      <c r="K4" s="479" t="str">
        <f>"     "&amp;is!K$5&amp;"    "</f>
        <v xml:space="preserve">     2013    </v>
      </c>
      <c r="L4" s="155" t="str">
        <f>"     "&amp;is!L$5&amp;"    "</f>
        <v xml:space="preserve">     2014    </v>
      </c>
      <c r="M4" s="155" t="str">
        <f>"     "&amp;is!M$5&amp;"    "</f>
        <v xml:space="preserve">     2015    </v>
      </c>
      <c r="N4" s="155" t="str">
        <f>"     "&amp;is!N$5&amp;"    "</f>
        <v xml:space="preserve">     2016    </v>
      </c>
      <c r="O4" s="155" t="str">
        <f>"     "&amp;is!O$5&amp;"    "</f>
        <v xml:space="preserve">     2017    </v>
      </c>
      <c r="P4" s="155" t="str">
        <f>"     "&amp;is!P$5&amp;"    "</f>
        <v xml:space="preserve">     2018    </v>
      </c>
      <c r="R4" s="156" t="s">
        <v>3</v>
      </c>
    </row>
    <row r="5" spans="1:18" ht="13.15" customHeight="1">
      <c r="A5" s="642" t="s">
        <v>43</v>
      </c>
      <c r="B5" s="7" t="s">
        <v>135</v>
      </c>
      <c r="C5" s="7"/>
      <c r="D5" s="73"/>
      <c r="E5" s="73"/>
      <c r="F5" s="73"/>
      <c r="G5" s="73"/>
      <c r="H5" s="73"/>
      <c r="I5" s="73"/>
      <c r="J5" s="73"/>
      <c r="K5" s="480"/>
      <c r="L5" s="157"/>
      <c r="R5" s="158"/>
    </row>
    <row r="6" spans="1:18" ht="13.15" customHeight="1">
      <c r="C6" s="157" t="s">
        <v>83</v>
      </c>
      <c r="D6" s="157"/>
      <c r="E6" s="157"/>
      <c r="F6" s="157"/>
      <c r="G6" s="157"/>
      <c r="H6" s="157"/>
      <c r="I6" s="26">
        <f>is!I7</f>
        <v>3697.6</v>
      </c>
      <c r="J6" s="26">
        <f>is!J7</f>
        <v>4014.2</v>
      </c>
      <c r="K6" s="95">
        <f>is!K7</f>
        <v>4123.3999999999996</v>
      </c>
      <c r="L6" s="26">
        <f>is!L7</f>
        <v>4288.3359999999993</v>
      </c>
      <c r="M6" s="26">
        <f>is!M7</f>
        <v>4472.7344479999992</v>
      </c>
      <c r="N6" s="26">
        <f>is!N7</f>
        <v>4678.4802326079998</v>
      </c>
      <c r="O6" s="26">
        <f>is!O7</f>
        <v>4907.7257640057915</v>
      </c>
      <c r="P6" s="26">
        <f>is!P7</f>
        <v>5162.9275037340931</v>
      </c>
      <c r="R6" s="159">
        <f>RATE($P$4-$J$4,0,-J6,P6)</f>
        <v>4.2836371951338388E-2</v>
      </c>
    </row>
    <row r="7" spans="1:18" s="13" customFormat="1" ht="13.15" customHeight="1">
      <c r="A7" s="642"/>
      <c r="B7"/>
      <c r="D7" s="13" t="s">
        <v>4</v>
      </c>
      <c r="H7" s="99"/>
      <c r="I7" s="160"/>
      <c r="J7" s="160">
        <f t="shared" ref="J7:P7" si="0">J6/I6-1</f>
        <v>8.5623106880138522E-2</v>
      </c>
      <c r="K7" s="481">
        <f t="shared" si="0"/>
        <v>2.7203427831199223E-2</v>
      </c>
      <c r="L7" s="160">
        <f t="shared" si="0"/>
        <v>4.0000000000000036E-2</v>
      </c>
      <c r="M7" s="160">
        <f t="shared" si="0"/>
        <v>4.2999999999999927E-2</v>
      </c>
      <c r="N7" s="160">
        <f t="shared" si="0"/>
        <v>4.6000000000000041E-2</v>
      </c>
      <c r="O7" s="160">
        <f t="shared" si="0"/>
        <v>4.8999999999999932E-2</v>
      </c>
      <c r="P7" s="160">
        <f t="shared" si="0"/>
        <v>5.2000000000000046E-2</v>
      </c>
      <c r="R7" s="161"/>
    </row>
    <row r="8" spans="1:18" ht="4.9000000000000004" customHeight="1">
      <c r="C8" s="73"/>
      <c r="D8" s="13"/>
      <c r="E8" s="73"/>
      <c r="F8" s="73"/>
      <c r="G8" s="73"/>
      <c r="H8" s="157"/>
      <c r="I8" s="157"/>
      <c r="J8" s="157"/>
      <c r="K8" s="480"/>
      <c r="L8" s="157"/>
      <c r="M8" s="157"/>
      <c r="N8" s="157"/>
      <c r="O8" s="157"/>
      <c r="P8" s="157"/>
      <c r="R8" s="163"/>
    </row>
    <row r="9" spans="1:18" s="157" customFormat="1" ht="13.15" customHeight="1">
      <c r="A9" s="642"/>
      <c r="B9"/>
      <c r="C9" s="164" t="s">
        <v>5</v>
      </c>
      <c r="D9" s="164"/>
      <c r="E9" s="164"/>
      <c r="F9" s="164"/>
      <c r="G9" s="164"/>
      <c r="H9" s="164"/>
      <c r="I9" s="165">
        <f>is!I9</f>
        <v>1617.5</v>
      </c>
      <c r="J9" s="165">
        <f>is!J9</f>
        <v>1716.2999999999997</v>
      </c>
      <c r="K9" s="482">
        <f>is!K9</f>
        <v>1766.6</v>
      </c>
      <c r="L9" s="165">
        <f>is!L9</f>
        <v>1856.8494879999998</v>
      </c>
      <c r="M9" s="165">
        <f>is!M9</f>
        <v>1945.6394848800001</v>
      </c>
      <c r="N9" s="165">
        <f>is!N9</f>
        <v>2044.4958616496961</v>
      </c>
      <c r="O9" s="165">
        <f>is!O9</f>
        <v>2154.4916103985429</v>
      </c>
      <c r="P9" s="165">
        <f>is!P9</f>
        <v>2276.8510291467355</v>
      </c>
      <c r="Q9" s="164"/>
      <c r="R9" s="166">
        <f>RATE($P$4-$J$4,0,-J9,P9)</f>
        <v>4.8230766080493058E-2</v>
      </c>
    </row>
    <row r="10" spans="1:18" s="13" customFormat="1" ht="13.15" customHeight="1">
      <c r="A10" s="642"/>
      <c r="B10"/>
      <c r="D10" s="13" t="s">
        <v>6</v>
      </c>
      <c r="H10" s="99"/>
      <c r="I10" s="160">
        <f t="shared" ref="I10:P10" si="1">I9/I6</f>
        <v>0.43744591086109907</v>
      </c>
      <c r="J10" s="160">
        <f t="shared" si="1"/>
        <v>0.42755717203926058</v>
      </c>
      <c r="K10" s="481">
        <f t="shared" si="1"/>
        <v>0.42843284667992437</v>
      </c>
      <c r="L10" s="160">
        <f t="shared" si="1"/>
        <v>0.43300000000000005</v>
      </c>
      <c r="M10" s="160">
        <f t="shared" si="1"/>
        <v>0.43500000000000011</v>
      </c>
      <c r="N10" s="160">
        <f t="shared" si="1"/>
        <v>0.43700000000000006</v>
      </c>
      <c r="O10" s="160">
        <f t="shared" si="1"/>
        <v>0.43900000000000011</v>
      </c>
      <c r="P10" s="160">
        <f t="shared" si="1"/>
        <v>0.44100000000000011</v>
      </c>
      <c r="R10" s="161"/>
    </row>
    <row r="11" spans="1:18" ht="4.9000000000000004" customHeight="1">
      <c r="C11" s="73"/>
      <c r="D11" s="13"/>
      <c r="E11" s="73"/>
      <c r="F11" s="73"/>
      <c r="G11" s="73"/>
      <c r="H11" s="157"/>
      <c r="I11" s="157"/>
      <c r="J11" s="157"/>
      <c r="K11" s="480"/>
      <c r="L11" s="157"/>
      <c r="M11" s="157"/>
      <c r="N11" s="157"/>
      <c r="O11" s="157"/>
      <c r="P11" s="157"/>
      <c r="R11" s="163"/>
    </row>
    <row r="12" spans="1:18" s="157" customFormat="1" ht="13.15" customHeight="1">
      <c r="A12" s="642"/>
      <c r="B12"/>
      <c r="C12" s="164" t="s">
        <v>85</v>
      </c>
      <c r="D12" s="164"/>
      <c r="E12" s="164"/>
      <c r="F12" s="164"/>
      <c r="G12" s="164"/>
      <c r="H12" s="164"/>
      <c r="I12" s="165">
        <f>is!I12</f>
        <v>649.49999999999989</v>
      </c>
      <c r="J12" s="165">
        <f>is!J12</f>
        <v>682.79999999999973</v>
      </c>
      <c r="K12" s="482">
        <f>is!K12</f>
        <v>701.09999999999991</v>
      </c>
      <c r="L12" s="165">
        <f>is!L12</f>
        <v>733.30545600000005</v>
      </c>
      <c r="M12" s="165">
        <f>is!M12</f>
        <v>778.2557939520002</v>
      </c>
      <c r="N12" s="165">
        <f>is!N12</f>
        <v>828.09100117161597</v>
      </c>
      <c r="O12" s="165">
        <f>is!O12</f>
        <v>883.39063752104289</v>
      </c>
      <c r="P12" s="165">
        <f>is!P12</f>
        <v>944.81573318333949</v>
      </c>
      <c r="Q12" s="164"/>
      <c r="R12" s="166">
        <f>RATE($P$4-$J$4,0,-J12,P12)</f>
        <v>5.5623218588662024E-2</v>
      </c>
    </row>
    <row r="13" spans="1:18" s="13" customFormat="1" ht="13.15" customHeight="1">
      <c r="A13" s="642"/>
      <c r="B13"/>
      <c r="D13" s="13" t="s">
        <v>6</v>
      </c>
      <c r="H13" s="99"/>
      <c r="I13" s="160">
        <f t="shared" ref="I13:P13" si="2">I12/I6</f>
        <v>0.17565447858070096</v>
      </c>
      <c r="J13" s="160">
        <f t="shared" si="2"/>
        <v>0.17009615863683916</v>
      </c>
      <c r="K13" s="481">
        <f t="shared" si="2"/>
        <v>0.17002958723383615</v>
      </c>
      <c r="L13" s="160">
        <f t="shared" si="2"/>
        <v>0.17100000000000004</v>
      </c>
      <c r="M13" s="160">
        <f t="shared" si="2"/>
        <v>0.17400000000000007</v>
      </c>
      <c r="N13" s="160">
        <f t="shared" si="2"/>
        <v>0.17699999999999999</v>
      </c>
      <c r="O13" s="160">
        <f t="shared" si="2"/>
        <v>0.18000000000000008</v>
      </c>
      <c r="P13" s="160">
        <f t="shared" si="2"/>
        <v>0.18300000000000008</v>
      </c>
      <c r="R13" s="161"/>
    </row>
    <row r="14" spans="1:18" s="13" customFormat="1" ht="13.15" customHeight="1">
      <c r="A14" s="642"/>
      <c r="B14"/>
      <c r="D14" s="13" t="s">
        <v>4</v>
      </c>
      <c r="H14" s="99"/>
      <c r="I14" s="167"/>
      <c r="J14" s="167">
        <f t="shared" ref="J14:P14" si="3">J12/I12-1</f>
        <v>5.1270207852193828E-2</v>
      </c>
      <c r="K14" s="483">
        <f t="shared" si="3"/>
        <v>2.6801405975395598E-2</v>
      </c>
      <c r="L14" s="167">
        <f t="shared" si="3"/>
        <v>4.5935609756097673E-2</v>
      </c>
      <c r="M14" s="167">
        <f t="shared" si="3"/>
        <v>6.1298245614035185E-2</v>
      </c>
      <c r="N14" s="167">
        <f t="shared" si="3"/>
        <v>6.4034482758620337E-2</v>
      </c>
      <c r="O14" s="167">
        <f t="shared" si="3"/>
        <v>6.6779661016949543E-2</v>
      </c>
      <c r="P14" s="167">
        <f t="shared" si="3"/>
        <v>6.9533333333333447E-2</v>
      </c>
      <c r="R14" s="161"/>
    </row>
    <row r="15" spans="1:18" ht="4.9000000000000004" customHeight="1">
      <c r="C15" s="73"/>
      <c r="D15" s="13"/>
      <c r="E15" s="73"/>
      <c r="F15" s="73"/>
      <c r="G15" s="73"/>
      <c r="H15" s="157"/>
      <c r="I15" s="162"/>
      <c r="J15" s="162"/>
      <c r="K15" s="484"/>
      <c r="L15" s="162"/>
      <c r="M15" s="162"/>
      <c r="N15" s="162"/>
      <c r="O15" s="162"/>
      <c r="P15" s="162"/>
      <c r="R15" s="163"/>
    </row>
    <row r="16" spans="1:18" s="157" customFormat="1" ht="13.15" customHeight="1">
      <c r="A16" s="642"/>
      <c r="B16"/>
      <c r="C16" s="164" t="s">
        <v>84</v>
      </c>
      <c r="D16" s="164"/>
      <c r="E16" s="164"/>
      <c r="F16" s="164"/>
      <c r="G16" s="164"/>
      <c r="H16" s="164"/>
      <c r="I16" s="165">
        <f>is!I16</f>
        <v>551.19999999999993</v>
      </c>
      <c r="J16" s="165">
        <f>is!J16</f>
        <v>579.99999999999977</v>
      </c>
      <c r="K16" s="482">
        <f>is!K16</f>
        <v>595.09999999999991</v>
      </c>
      <c r="L16" s="165">
        <f>is!L16</f>
        <v>620.30545600000005</v>
      </c>
      <c r="M16" s="165">
        <f>is!M16</f>
        <v>664.04761715328027</v>
      </c>
      <c r="N16" s="165">
        <f>is!N16</f>
        <v>703.57335037963389</v>
      </c>
      <c r="O16" s="165">
        <f>is!O16</f>
        <v>747.47096898456721</v>
      </c>
      <c r="P16" s="165">
        <f>is!P16</f>
        <v>796.25376307878491</v>
      </c>
      <c r="Q16" s="164"/>
      <c r="R16" s="166">
        <f>RATE($P$4-$J$4,0,-J16,P16)</f>
        <v>5.423456369131123E-2</v>
      </c>
    </row>
    <row r="17" spans="1:18" s="13" customFormat="1" ht="13.15" customHeight="1">
      <c r="A17" s="642"/>
      <c r="B17"/>
      <c r="D17" s="13" t="s">
        <v>6</v>
      </c>
      <c r="H17" s="99"/>
      <c r="I17" s="160">
        <f t="shared" ref="I17:P17" si="4">I16/I6</f>
        <v>0.14906966681090436</v>
      </c>
      <c r="J17" s="160">
        <f t="shared" si="4"/>
        <v>0.14448707089831095</v>
      </c>
      <c r="K17" s="481">
        <f t="shared" si="4"/>
        <v>0.14432264635980016</v>
      </c>
      <c r="L17" s="160">
        <f t="shared" si="4"/>
        <v>0.14464945284138186</v>
      </c>
      <c r="M17" s="160">
        <f t="shared" si="4"/>
        <v>0.14846569249158348</v>
      </c>
      <c r="N17" s="160">
        <f t="shared" si="4"/>
        <v>0.1503850215024698</v>
      </c>
      <c r="O17" s="160">
        <f t="shared" si="4"/>
        <v>0.15230495853428969</v>
      </c>
      <c r="P17" s="160">
        <f t="shared" si="4"/>
        <v>0.15422524575502822</v>
      </c>
      <c r="R17" s="161"/>
    </row>
    <row r="18" spans="1:18" s="13" customFormat="1" ht="13.15" customHeight="1">
      <c r="A18" s="642"/>
      <c r="B18"/>
      <c r="D18" s="13" t="s">
        <v>4</v>
      </c>
      <c r="H18" s="99"/>
      <c r="I18" s="167"/>
      <c r="J18" s="167">
        <f t="shared" ref="J18:P18" si="5">(J16/I16-1)+(J16/I16-1)</f>
        <v>0.10449927431059436</v>
      </c>
      <c r="K18" s="483">
        <f t="shared" si="5"/>
        <v>5.2068965517241939E-2</v>
      </c>
      <c r="L18" s="167">
        <f t="shared" si="5"/>
        <v>8.4709984876491617E-2</v>
      </c>
      <c r="M18" s="167">
        <f t="shared" si="5"/>
        <v>0.14103426216931503</v>
      </c>
      <c r="N18" s="167">
        <f t="shared" si="5"/>
        <v>0.11904487631714522</v>
      </c>
      <c r="O18" s="167">
        <f t="shared" si="5"/>
        <v>0.12478476787458481</v>
      </c>
      <c r="P18" s="167">
        <f t="shared" si="5"/>
        <v>0.13052759536731884</v>
      </c>
      <c r="R18" s="161"/>
    </row>
    <row r="19" spans="1:18" ht="4.9000000000000004" customHeight="1">
      <c r="C19" s="73"/>
      <c r="D19" s="13"/>
      <c r="E19" s="73"/>
      <c r="F19" s="73"/>
      <c r="G19" s="73"/>
      <c r="H19" s="157"/>
      <c r="I19" s="157"/>
      <c r="J19" s="157"/>
      <c r="K19" s="480"/>
      <c r="L19" s="157"/>
      <c r="M19" s="157"/>
      <c r="N19" s="157"/>
      <c r="O19" s="157"/>
      <c r="P19" s="157"/>
      <c r="R19" s="163"/>
    </row>
    <row r="20" spans="1:18" s="157" customFormat="1" ht="13.15" customHeight="1">
      <c r="A20" s="642"/>
      <c r="B20"/>
      <c r="C20" s="164" t="s">
        <v>7</v>
      </c>
      <c r="D20" s="164"/>
      <c r="E20" s="164"/>
      <c r="F20" s="164"/>
      <c r="G20" s="164"/>
      <c r="H20" s="164"/>
      <c r="I20" s="165">
        <f>is!I25</f>
        <v>381.90629999999999</v>
      </c>
      <c r="J20" s="165">
        <f>is!J25</f>
        <v>409.00189999999975</v>
      </c>
      <c r="K20" s="482">
        <f>is!K25</f>
        <v>421.24009999999993</v>
      </c>
      <c r="L20" s="165">
        <f ca="1">is!L25</f>
        <v>444.21498382996754</v>
      </c>
      <c r="M20" s="165">
        <f ca="1">is!M25</f>
        <v>481.282472383195</v>
      </c>
      <c r="N20" s="165">
        <f ca="1">is!N25</f>
        <v>515.39349453562272</v>
      </c>
      <c r="O20" s="165">
        <f ca="1">is!O25</f>
        <v>553.66655387441847</v>
      </c>
      <c r="P20" s="165">
        <f ca="1">is!P25</f>
        <v>595.17320447941108</v>
      </c>
      <c r="Q20" s="164"/>
      <c r="R20" s="166">
        <f ca="1">RATE($P$4-$J$4,0,-J20,P20)</f>
        <v>6.4517995441663548E-2</v>
      </c>
    </row>
    <row r="21" spans="1:18" s="13" customFormat="1" ht="13.15" customHeight="1">
      <c r="A21" s="642"/>
      <c r="B21"/>
      <c r="D21" s="13" t="s">
        <v>6</v>
      </c>
      <c r="H21" s="99"/>
      <c r="I21" s="160">
        <f t="shared" ref="I21:P21" si="6">I20/I6</f>
        <v>0.10328491453916054</v>
      </c>
      <c r="J21" s="160">
        <f t="shared" si="6"/>
        <v>0.10188876986697219</v>
      </c>
      <c r="K21" s="481">
        <f t="shared" si="6"/>
        <v>0.1021584372120095</v>
      </c>
      <c r="L21" s="160">
        <f t="shared" ca="1" si="6"/>
        <v>0.10358679539802096</v>
      </c>
      <c r="M21" s="160">
        <f t="shared" ca="1" si="6"/>
        <v>0.1076036321803997</v>
      </c>
      <c r="N21" s="160">
        <f t="shared" ca="1" si="6"/>
        <v>0.11016258889872849</v>
      </c>
      <c r="O21" s="160">
        <f t="shared" ca="1" si="6"/>
        <v>0.11281529989615881</v>
      </c>
      <c r="P21" s="160">
        <f t="shared" ca="1" si="6"/>
        <v>0.11527824166598338</v>
      </c>
      <c r="R21" s="169"/>
    </row>
    <row r="22" spans="1:18" s="13" customFormat="1" ht="13.15" customHeight="1">
      <c r="A22" s="642"/>
      <c r="B22"/>
      <c r="D22" s="13" t="s">
        <v>4</v>
      </c>
      <c r="H22" s="99"/>
      <c r="I22" s="167"/>
      <c r="J22" s="167">
        <f t="shared" ref="J22:P22" si="7">J20/I20-1</f>
        <v>7.0948292814231539E-2</v>
      </c>
      <c r="K22" s="483">
        <f t="shared" si="7"/>
        <v>2.9922110386284784E-2</v>
      </c>
      <c r="L22" s="167">
        <f t="shared" ca="1" si="7"/>
        <v>5.4541065368580943E-2</v>
      </c>
      <c r="M22" s="167">
        <f t="shared" ca="1" si="7"/>
        <v>8.3444930726190414E-2</v>
      </c>
      <c r="N22" s="167">
        <f t="shared" ca="1" si="7"/>
        <v>7.0875263716790204E-2</v>
      </c>
      <c r="O22" s="167">
        <f t="shared" ca="1" si="7"/>
        <v>7.4259880546766244E-2</v>
      </c>
      <c r="P22" s="167">
        <f t="shared" ca="1" si="7"/>
        <v>7.4966873679725765E-2</v>
      </c>
      <c r="R22" s="169"/>
    </row>
    <row r="23" spans="1:18" s="13" customFormat="1" ht="13.15" customHeight="1">
      <c r="A23" s="642"/>
      <c r="B23"/>
      <c r="H23" s="99"/>
      <c r="I23" s="160"/>
      <c r="J23" s="160"/>
      <c r="K23" s="481"/>
      <c r="L23" s="160"/>
      <c r="M23" s="160"/>
      <c r="N23" s="160"/>
      <c r="O23" s="160"/>
      <c r="P23" s="160"/>
      <c r="R23" s="169"/>
    </row>
    <row r="24" spans="1:18" s="13" customFormat="1" ht="13.15" customHeight="1">
      <c r="A24" s="642" t="s">
        <v>43</v>
      </c>
      <c r="B24" s="7" t="s">
        <v>145</v>
      </c>
      <c r="H24" s="99"/>
      <c r="I24" s="160"/>
      <c r="J24" s="160"/>
      <c r="K24" s="481"/>
      <c r="L24" s="160"/>
      <c r="M24" s="160"/>
      <c r="N24" s="160"/>
      <c r="O24" s="160"/>
      <c r="P24" s="160"/>
      <c r="R24" s="169"/>
    </row>
    <row r="25" spans="1:18" s="13" customFormat="1" ht="13.15" customHeight="1">
      <c r="A25" s="642"/>
      <c r="B25"/>
      <c r="C25" s="16" t="s">
        <v>146</v>
      </c>
      <c r="H25" s="99"/>
      <c r="I25" s="176">
        <f>is!I25/is!I7</f>
        <v>0.10328491453916054</v>
      </c>
      <c r="J25" s="176">
        <f>is!J25/is!J7</f>
        <v>0.10188876986697219</v>
      </c>
      <c r="K25" s="485">
        <f>is!K25/is!K7</f>
        <v>0.1021584372120095</v>
      </c>
      <c r="L25" s="176">
        <f ca="1">is!L25/is!L7</f>
        <v>0.10358679539802096</v>
      </c>
      <c r="M25" s="176">
        <f ca="1">is!M25/is!M7</f>
        <v>0.1076036321803997</v>
      </c>
      <c r="N25" s="176">
        <f ca="1">is!N25/is!N7</f>
        <v>0.11016258889872849</v>
      </c>
      <c r="O25" s="176">
        <f ca="1">is!O25/is!O7</f>
        <v>0.11281529989615881</v>
      </c>
      <c r="P25" s="176">
        <f ca="1">is!P25/is!P7</f>
        <v>0.11527824166598338</v>
      </c>
      <c r="R25" s="169"/>
    </row>
    <row r="26" spans="1:18" s="13" customFormat="1" ht="13.15" customHeight="1">
      <c r="A26" s="642"/>
      <c r="B26"/>
      <c r="C26" s="16" t="s">
        <v>147</v>
      </c>
      <c r="H26" s="99"/>
      <c r="I26" s="170">
        <f>is!I25/AVERAGE(bs!I19:I19)</f>
        <v>9.3425876999853219E-2</v>
      </c>
      <c r="J26" s="170">
        <f>is!J25/AVERAGE(bs!I19:J19)</f>
        <v>9.9113531721029366E-2</v>
      </c>
      <c r="K26" s="486">
        <f>is!K25/AVERAGE(bs!J19:K19)</f>
        <v>9.7791110956344074E-2</v>
      </c>
      <c r="L26" s="170">
        <f ca="1">is!L25/AVERAGE(bs!K19:L19)</f>
        <v>9.9403420868814374E-2</v>
      </c>
      <c r="M26" s="170">
        <f ca="1">is!M25/AVERAGE(bs!L19:M19)</f>
        <v>0.1063634879238364</v>
      </c>
      <c r="N26" s="170">
        <f ca="1">is!N25/AVERAGE(bs!M19:N19)</f>
        <v>0.11155992121213945</v>
      </c>
      <c r="O26" s="170">
        <f ca="1">is!O25/AVERAGE(bs!N19:O19)</f>
        <v>0.11788149491641188</v>
      </c>
      <c r="P26" s="170">
        <f ca="1">is!P25/AVERAGE(bs!O19:P19)</f>
        <v>0.12310218516107441</v>
      </c>
      <c r="R26" s="169"/>
    </row>
    <row r="27" spans="1:18" s="13" customFormat="1" ht="13.15" customHeight="1">
      <c r="A27" s="642"/>
      <c r="B27"/>
      <c r="C27" s="16" t="s">
        <v>148</v>
      </c>
      <c r="H27" s="99"/>
      <c r="I27" s="170">
        <f>is!I25/AVERAGE(bs!I30:I30)</f>
        <v>0.23596311399443928</v>
      </c>
      <c r="J27" s="170">
        <f>is!J25/AVERAGE(bs!I30:J30)</f>
        <v>0.24648320125350273</v>
      </c>
      <c r="K27" s="486">
        <f>is!K25/AVERAGE(bs!J30:K30)</f>
        <v>0.23094936812960878</v>
      </c>
      <c r="L27" s="170">
        <f ca="1">is!L25/AVERAGE(bs!K30:L30)</f>
        <v>0.2182673617539593</v>
      </c>
      <c r="M27" s="170">
        <f ca="1">is!M25/AVERAGE(bs!L30:M30)</f>
        <v>0.2171829578159373</v>
      </c>
      <c r="N27" s="170">
        <f ca="1">is!N25/AVERAGE(bs!M30:N30)</f>
        <v>0.21397862532821138</v>
      </c>
      <c r="O27" s="170">
        <f ca="1">is!O25/AVERAGE(bs!N30:O30)</f>
        <v>0.21182439688677163</v>
      </c>
      <c r="P27" s="170">
        <f ca="1">is!P25/AVERAGE(bs!O30:P30)</f>
        <v>0.21008105157607326</v>
      </c>
      <c r="R27" s="169"/>
    </row>
    <row r="28" spans="1:18" s="13" customFormat="1" ht="13.15" customHeight="1">
      <c r="A28" s="642"/>
      <c r="B28"/>
      <c r="C28" s="16" t="s">
        <v>149</v>
      </c>
      <c r="H28" s="99"/>
      <c r="I28" s="170">
        <f>is!I25/AVERAGE((bs!I25+bs!I26+bs!I30),(bs!I25+bs!I26+bs!I30))</f>
        <v>0.13304058385006617</v>
      </c>
      <c r="J28" s="170">
        <f>is!J25/AVERAGE((bs!I25+bs!I26+bs!I30),(bs!J25+bs!J26+bs!J30))</f>
        <v>0.14244485076446201</v>
      </c>
      <c r="K28" s="486">
        <f>is!K25/AVERAGE((bs!J25+bs!J26+bs!J30),(bs!K25+bs!K26+bs!K30))</f>
        <v>0.13918850779804384</v>
      </c>
      <c r="L28" s="170">
        <f ca="1">is!L25/AVERAGE((bs!K25+bs!K26+bs!K30),(bs!L25+bs!L26+bs!L30))</f>
        <v>0.13909666241482149</v>
      </c>
      <c r="M28" s="170">
        <f ca="1">is!M25/AVERAGE((bs!L25+bs!L26+bs!L30),(bs!M25+bs!M26+bs!M30))</f>
        <v>0.1491717660909303</v>
      </c>
      <c r="N28" s="170">
        <f ca="1">is!N25/AVERAGE((bs!M25+bs!M26+bs!M30),(bs!N25+bs!N26+bs!N30))</f>
        <v>0.1568700956089891</v>
      </c>
      <c r="O28" s="170">
        <f ca="1">is!O25/AVERAGE((bs!N25+bs!N26+bs!N30),(bs!O25+bs!O26+bs!O30))</f>
        <v>0.1666498018869472</v>
      </c>
      <c r="P28" s="170">
        <f ca="1">is!P25/AVERAGE((bs!O25+bs!O26+bs!O30),(bs!P25+bs!P26+bs!P30))</f>
        <v>0.17424886311226317</v>
      </c>
      <c r="R28" s="169"/>
    </row>
    <row r="29" spans="1:18" ht="13.15" customHeight="1">
      <c r="C29" s="73"/>
      <c r="D29" s="73"/>
      <c r="E29" s="73"/>
      <c r="F29" s="73"/>
      <c r="G29" s="157"/>
      <c r="H29" s="171"/>
      <c r="I29" s="157"/>
      <c r="K29" s="480"/>
      <c r="L29" s="157"/>
      <c r="M29" s="157"/>
      <c r="N29" s="157"/>
      <c r="O29" s="157"/>
      <c r="P29" s="157"/>
    </row>
    <row r="30" spans="1:18" ht="13.15" customHeight="1" outlineLevel="1">
      <c r="A30" s="642" t="s">
        <v>43</v>
      </c>
      <c r="B30" s="7" t="s">
        <v>136</v>
      </c>
      <c r="C30" s="73"/>
      <c r="D30" s="157"/>
      <c r="E30" s="157"/>
      <c r="F30" s="157"/>
      <c r="G30" s="157"/>
      <c r="H30" s="157"/>
      <c r="I30" s="99"/>
      <c r="J30" s="99"/>
      <c r="K30" s="487"/>
      <c r="L30" s="99"/>
      <c r="M30" s="99"/>
      <c r="N30" s="99"/>
      <c r="O30" s="99"/>
      <c r="P30" s="99"/>
    </row>
    <row r="31" spans="1:18" ht="13.15" customHeight="1" outlineLevel="2">
      <c r="C31" s="186" t="s">
        <v>13</v>
      </c>
      <c r="E31" s="187" t="s">
        <v>47</v>
      </c>
      <c r="G31" s="157"/>
      <c r="I31" s="26">
        <f>is!I18</f>
        <v>51.2</v>
      </c>
      <c r="J31" s="26">
        <f>is!J18</f>
        <v>54.6</v>
      </c>
      <c r="K31" s="95">
        <f>is!K18</f>
        <v>53.3</v>
      </c>
      <c r="L31" s="26">
        <f ca="1">is!L18</f>
        <v>45.805219682803383</v>
      </c>
      <c r="M31" s="26">
        <f ca="1">is!M18</f>
        <v>41.145931107494079</v>
      </c>
      <c r="N31" s="26">
        <f ca="1">is!N18</f>
        <v>36.481016952963053</v>
      </c>
      <c r="O31" s="26">
        <f ca="1">is!O18</f>
        <v>30.346829573350512</v>
      </c>
      <c r="P31" s="26">
        <f ca="1">is!P18</f>
        <v>24.932456866121164</v>
      </c>
    </row>
    <row r="32" spans="1:18" ht="13.15" customHeight="1" outlineLevel="2">
      <c r="C32" s="73"/>
      <c r="D32" s="73"/>
      <c r="E32" s="206" t="s">
        <v>48</v>
      </c>
      <c r="F32" s="73"/>
      <c r="G32" s="157"/>
      <c r="I32" s="101">
        <f>dep!I8</f>
        <v>96.7</v>
      </c>
      <c r="J32" s="101">
        <f>dep!J8</f>
        <v>110.3</v>
      </c>
      <c r="K32" s="105">
        <f>dep!K8</f>
        <v>99.9</v>
      </c>
      <c r="L32" s="101">
        <f>dep!L8</f>
        <v>125</v>
      </c>
      <c r="M32" s="101">
        <f>dep!M8</f>
        <v>125.23656454399998</v>
      </c>
      <c r="N32" s="101">
        <f>dep!N8</f>
        <v>130.99744651302399</v>
      </c>
      <c r="O32" s="101">
        <f>dep!O8</f>
        <v>137.41632139216216</v>
      </c>
      <c r="P32" s="101">
        <f>dep!P8</f>
        <v>144.5619701045546</v>
      </c>
    </row>
    <row r="33" spans="2:18" ht="13.15" customHeight="1" outlineLevel="2">
      <c r="C33" s="73"/>
      <c r="D33" s="73"/>
      <c r="E33" s="187" t="s">
        <v>150</v>
      </c>
      <c r="F33" s="73"/>
      <c r="G33" s="157"/>
      <c r="I33" s="62">
        <v>31.9</v>
      </c>
      <c r="J33" s="62">
        <v>32.700000000000003</v>
      </c>
      <c r="K33" s="210">
        <v>37.6</v>
      </c>
      <c r="L33" s="62">
        <v>23.6</v>
      </c>
      <c r="M33" s="62">
        <v>20.100000000000001</v>
      </c>
      <c r="N33" s="62">
        <v>14.1</v>
      </c>
      <c r="O33" s="62">
        <v>10.6</v>
      </c>
      <c r="P33" s="62">
        <v>8.9</v>
      </c>
      <c r="R33" s="205"/>
    </row>
    <row r="34" spans="2:18" ht="13.15" customHeight="1" outlineLevel="2">
      <c r="C34" s="73"/>
      <c r="D34" s="73"/>
      <c r="E34" s="206" t="s">
        <v>151</v>
      </c>
      <c r="F34" s="73"/>
      <c r="G34" s="157"/>
      <c r="I34" s="123">
        <f t="shared" ref="I34:P34" si="8">I12+I33</f>
        <v>681.39999999999986</v>
      </c>
      <c r="J34" s="123">
        <f t="shared" si="8"/>
        <v>715.49999999999977</v>
      </c>
      <c r="K34" s="488">
        <f t="shared" si="8"/>
        <v>738.69999999999993</v>
      </c>
      <c r="L34" s="123">
        <f t="shared" si="8"/>
        <v>756.90545600000007</v>
      </c>
      <c r="M34" s="123">
        <f t="shared" si="8"/>
        <v>798.35579395200023</v>
      </c>
      <c r="N34" s="123">
        <f t="shared" si="8"/>
        <v>842.19100117161599</v>
      </c>
      <c r="O34" s="123">
        <f t="shared" si="8"/>
        <v>893.99063752104291</v>
      </c>
      <c r="P34" s="123">
        <f t="shared" si="8"/>
        <v>953.71573318333947</v>
      </c>
      <c r="R34" s="205"/>
    </row>
    <row r="35" spans="2:18" ht="13.15" customHeight="1" outlineLevel="2">
      <c r="C35" s="157"/>
      <c r="D35" s="73"/>
      <c r="E35" s="73"/>
      <c r="F35" s="73"/>
      <c r="G35" s="157"/>
      <c r="H35" s="171"/>
      <c r="I35" s="157"/>
      <c r="J35" s="157"/>
      <c r="K35" s="480"/>
      <c r="L35" s="157"/>
      <c r="M35" s="157"/>
      <c r="N35" s="157"/>
      <c r="O35" s="157"/>
      <c r="P35" s="157"/>
    </row>
    <row r="36" spans="2:18" ht="13.15" customHeight="1" collapsed="1">
      <c r="C36" s="157" t="s">
        <v>142</v>
      </c>
      <c r="D36" s="73"/>
      <c r="E36" s="73"/>
      <c r="F36" s="73"/>
      <c r="G36" s="157"/>
      <c r="H36" s="171"/>
      <c r="I36" s="172">
        <f t="shared" ref="I36:P36" si="9">IF(I31,I16/I31,0)</f>
        <v>10.765624999999998</v>
      </c>
      <c r="J36" s="172">
        <f t="shared" si="9"/>
        <v>10.622710622710619</v>
      </c>
      <c r="K36" s="489">
        <f t="shared" si="9"/>
        <v>11.165103189493433</v>
      </c>
      <c r="L36" s="172">
        <f t="shared" ca="1" si="9"/>
        <v>13.542243881713787</v>
      </c>
      <c r="M36" s="172">
        <f t="shared" ca="1" si="9"/>
        <v>16.13884044617803</v>
      </c>
      <c r="N36" s="172">
        <f t="shared" ca="1" si="9"/>
        <v>19.286012538707158</v>
      </c>
      <c r="O36" s="172">
        <f t="shared" ca="1" si="9"/>
        <v>24.630941007457636</v>
      </c>
      <c r="P36" s="172">
        <f t="shared" ca="1" si="9"/>
        <v>31.936433996633284</v>
      </c>
    </row>
    <row r="37" spans="2:18" ht="13.15" customHeight="1">
      <c r="C37" s="73" t="s">
        <v>141</v>
      </c>
      <c r="D37" s="73"/>
      <c r="E37" s="73"/>
      <c r="F37" s="73"/>
      <c r="G37" s="157"/>
      <c r="H37" s="171"/>
      <c r="I37" s="172">
        <f t="shared" ref="I37:P37" si="10">IF(I31,I12/I31,0)</f>
        <v>12.685546874999996</v>
      </c>
      <c r="J37" s="172">
        <f t="shared" si="10"/>
        <v>12.5054945054945</v>
      </c>
      <c r="K37" s="489">
        <f t="shared" si="10"/>
        <v>13.153846153846153</v>
      </c>
      <c r="L37" s="172">
        <f t="shared" ca="1" si="10"/>
        <v>16.009211637408747</v>
      </c>
      <c r="M37" s="172">
        <f t="shared" ca="1" si="10"/>
        <v>18.914526248508039</v>
      </c>
      <c r="N37" s="172">
        <f t="shared" ca="1" si="10"/>
        <v>22.699230184271411</v>
      </c>
      <c r="O37" s="172">
        <f t="shared" ca="1" si="10"/>
        <v>29.109816410502553</v>
      </c>
      <c r="P37" s="172">
        <f t="shared" ca="1" si="10"/>
        <v>37.895011240034606</v>
      </c>
    </row>
    <row r="38" spans="2:18" ht="13.15" customHeight="1">
      <c r="C38" s="73" t="s">
        <v>140</v>
      </c>
      <c r="D38" s="73"/>
      <c r="E38" s="73"/>
      <c r="F38" s="73"/>
      <c r="G38" s="157"/>
      <c r="H38" s="171"/>
      <c r="I38" s="172">
        <f t="shared" ref="I38:P38" si="11">IF(I31,(I12-I32)/I31,0)</f>
        <v>10.796874999999996</v>
      </c>
      <c r="J38" s="172">
        <f t="shared" si="11"/>
        <v>10.48534798534798</v>
      </c>
      <c r="K38" s="489">
        <f t="shared" si="11"/>
        <v>11.279549718574108</v>
      </c>
      <c r="L38" s="172">
        <f t="shared" ca="1" si="11"/>
        <v>13.280265005002818</v>
      </c>
      <c r="M38" s="172">
        <f t="shared" ca="1" si="11"/>
        <v>15.870809380932034</v>
      </c>
      <c r="N38" s="172">
        <f t="shared" ca="1" si="11"/>
        <v>19.108391511053334</v>
      </c>
      <c r="O38" s="172">
        <f t="shared" ca="1" si="11"/>
        <v>24.581622746646602</v>
      </c>
      <c r="P38" s="172">
        <f t="shared" ca="1" si="11"/>
        <v>32.096867443745161</v>
      </c>
    </row>
    <row r="39" spans="2:18" ht="13.15" customHeight="1">
      <c r="C39" s="16" t="s">
        <v>152</v>
      </c>
      <c r="D39" s="73"/>
      <c r="E39" s="73"/>
      <c r="F39" s="73"/>
      <c r="G39" s="157"/>
      <c r="H39" s="171"/>
      <c r="I39" s="172">
        <f t="shared" ref="I39:P39" si="12">I34/(I31+I33)</f>
        <v>8.1997593261131154</v>
      </c>
      <c r="J39" s="172">
        <f t="shared" si="12"/>
        <v>8.1958762886597896</v>
      </c>
      <c r="K39" s="489">
        <f t="shared" si="12"/>
        <v>8.1265126512651253</v>
      </c>
      <c r="L39" s="172">
        <f t="shared" ca="1" si="12"/>
        <v>10.905598447194878</v>
      </c>
      <c r="M39" s="172">
        <f t="shared" ca="1" si="12"/>
        <v>13.035246252535346</v>
      </c>
      <c r="N39" s="172">
        <f t="shared" ca="1" si="12"/>
        <v>16.650337456733958</v>
      </c>
      <c r="O39" s="172">
        <f t="shared" ca="1" si="12"/>
        <v>21.832963548974746</v>
      </c>
      <c r="P39" s="172">
        <f t="shared" ca="1" si="12"/>
        <v>28.18937261805431</v>
      </c>
    </row>
    <row r="40" spans="2:18" ht="13.15" customHeight="1">
      <c r="C40" s="16" t="s">
        <v>153</v>
      </c>
      <c r="D40" s="73"/>
      <c r="E40" s="73"/>
      <c r="F40" s="73"/>
      <c r="G40" s="157"/>
      <c r="H40" s="171"/>
      <c r="I40" s="172">
        <f>I34/(SUM(is!I18:I19)+I33)</f>
        <v>8.1997593261131154</v>
      </c>
      <c r="J40" s="172">
        <f>J34/(SUM(is!J18:J19)+J33)</f>
        <v>8.1958762886597896</v>
      </c>
      <c r="K40" s="489">
        <f>K34/(SUM(is!K18:K19)+K33)</f>
        <v>8.1265126512651253</v>
      </c>
      <c r="L40" s="172">
        <f ca="1">L34/(SUM(is!L18:L19)+L33)</f>
        <v>10.950168909344953</v>
      </c>
      <c r="M40" s="172">
        <f ca="1">M34/(SUM(is!M18:M19)+M33)</f>
        <v>13.088672956644359</v>
      </c>
      <c r="N40" s="172">
        <f ca="1">N34/(SUM(is!N18:N19)+N33)</f>
        <v>16.766493192893421</v>
      </c>
      <c r="O40" s="172">
        <f ca="1">O34/(SUM(is!O18:O19)+O33)</f>
        <v>22.021420005343053</v>
      </c>
      <c r="P40" s="172">
        <f ca="1">P34/(SUM(is!P18:P19)+P33)</f>
        <v>28.737392806417965</v>
      </c>
    </row>
    <row r="41" spans="2:18" ht="13.15" customHeight="1">
      <c r="C41" s="73"/>
      <c r="D41" s="73"/>
      <c r="E41" s="73"/>
      <c r="F41" s="73"/>
      <c r="G41" s="157"/>
      <c r="H41" s="171"/>
      <c r="I41" s="172"/>
      <c r="J41" s="172"/>
      <c r="K41" s="489"/>
      <c r="L41" s="172"/>
      <c r="M41" s="172"/>
      <c r="N41" s="172"/>
      <c r="O41" s="172"/>
      <c r="P41" s="172"/>
    </row>
    <row r="42" spans="2:18" ht="4.9000000000000004" customHeight="1">
      <c r="C42" s="73"/>
      <c r="D42" s="73"/>
      <c r="E42" s="73"/>
      <c r="F42" s="73"/>
      <c r="G42" s="157"/>
      <c r="H42" s="171"/>
      <c r="I42" s="157"/>
      <c r="J42" s="157"/>
      <c r="K42" s="480"/>
      <c r="L42" s="157"/>
      <c r="M42" s="157"/>
      <c r="N42" s="157"/>
      <c r="O42" s="157"/>
      <c r="P42" s="157"/>
    </row>
    <row r="43" spans="2:18" ht="13.15" customHeight="1">
      <c r="B43" s="7" t="s">
        <v>12</v>
      </c>
      <c r="C43" s="73"/>
      <c r="D43" s="73"/>
      <c r="E43" s="73"/>
      <c r="F43" s="73"/>
      <c r="G43" s="157"/>
      <c r="H43" s="157"/>
      <c r="I43" s="106"/>
      <c r="J43" s="106"/>
      <c r="K43" s="490"/>
      <c r="L43" s="106"/>
      <c r="M43" s="106"/>
      <c r="N43" s="106"/>
      <c r="O43" s="106"/>
      <c r="P43" s="106"/>
    </row>
    <row r="44" spans="2:18" ht="13.15" customHeight="1" outlineLevel="1">
      <c r="F44" s="148" t="s">
        <v>13</v>
      </c>
      <c r="G44" s="157"/>
      <c r="H44" s="162" t="s">
        <v>84</v>
      </c>
      <c r="I44" s="26">
        <f>is!I16</f>
        <v>551.19999999999993</v>
      </c>
      <c r="J44" s="26">
        <f>is!J16</f>
        <v>579.99999999999977</v>
      </c>
      <c r="K44" s="95">
        <f>is!K16</f>
        <v>595.09999999999991</v>
      </c>
      <c r="L44" s="26">
        <f>is!L16</f>
        <v>620.30545600000005</v>
      </c>
      <c r="M44" s="26">
        <f>is!M16</f>
        <v>664.04761715328027</v>
      </c>
      <c r="N44" s="26">
        <f>is!N16</f>
        <v>703.57335037963389</v>
      </c>
      <c r="O44" s="26">
        <f>is!O16</f>
        <v>747.47096898456721</v>
      </c>
      <c r="P44" s="26">
        <f>is!P16</f>
        <v>796.25376307878491</v>
      </c>
    </row>
    <row r="45" spans="2:18" ht="13.15" customHeight="1" outlineLevel="1">
      <c r="F45" s="73"/>
      <c r="G45" s="157"/>
      <c r="H45" s="162" t="s">
        <v>14</v>
      </c>
      <c r="I45" s="101">
        <f>is!I23</f>
        <v>145.7937</v>
      </c>
      <c r="J45" s="101">
        <f>is!J23</f>
        <v>140.29810000000001</v>
      </c>
      <c r="K45" s="105">
        <f>is!K23</f>
        <v>145.95989999999998</v>
      </c>
      <c r="L45" s="101">
        <f ca="1">is!L23</f>
        <v>158.3677524872291</v>
      </c>
      <c r="M45" s="101">
        <f ca="1">is!M23</f>
        <v>171.6692136625912</v>
      </c>
      <c r="N45" s="101">
        <f ca="1">is!N23</f>
        <v>183.84925654799483</v>
      </c>
      <c r="O45" s="101">
        <f ca="1">is!O23</f>
        <v>197.60800319374493</v>
      </c>
      <c r="P45" s="101">
        <f ca="1">is!P23</f>
        <v>212.59328445770765</v>
      </c>
    </row>
    <row r="46" spans="2:18" ht="4.9000000000000004" customHeight="1" outlineLevel="1">
      <c r="C46" s="157"/>
      <c r="D46" s="73"/>
      <c r="E46" s="73"/>
      <c r="F46" s="73"/>
      <c r="G46" s="157"/>
      <c r="H46" s="171"/>
      <c r="I46" s="157"/>
      <c r="J46" s="157"/>
      <c r="K46" s="480"/>
      <c r="L46" s="157"/>
      <c r="M46" s="157"/>
      <c r="N46" s="157"/>
      <c r="O46" s="157"/>
      <c r="P46" s="157"/>
    </row>
    <row r="47" spans="2:18" ht="13.15" customHeight="1" collapsed="1">
      <c r="C47" s="73" t="s">
        <v>15</v>
      </c>
      <c r="D47" s="73"/>
      <c r="E47" s="73"/>
      <c r="F47" s="73"/>
      <c r="G47" s="157"/>
      <c r="H47" s="157"/>
      <c r="I47" s="26">
        <f>bs!I25+bs!I26</f>
        <v>1252.1000000000001</v>
      </c>
      <c r="J47" s="26">
        <f>bs!J25+bs!J26</f>
        <v>1171.8</v>
      </c>
      <c r="K47" s="95">
        <f>bs!K25+bs!K26</f>
        <v>1233.0999999999999</v>
      </c>
      <c r="L47" s="26">
        <f ca="1">bs!L25+bs!L26</f>
        <v>1083.6660059372637</v>
      </c>
      <c r="M47" s="26">
        <f ca="1">bs!M25+bs!M26</f>
        <v>937.01635811883273</v>
      </c>
      <c r="N47" s="26">
        <f ca="1">bs!N25+bs!N26</f>
        <v>816.7</v>
      </c>
      <c r="O47" s="26">
        <f ca="1">bs!O25+bs!O26</f>
        <v>600.37152851376663</v>
      </c>
      <c r="P47" s="26">
        <f ca="1">bs!P25+bs!P26</f>
        <v>564.80000000000007</v>
      </c>
    </row>
    <row r="48" spans="2:18" ht="13.15" customHeight="1">
      <c r="C48" s="73" t="s">
        <v>16</v>
      </c>
      <c r="D48" s="73"/>
      <c r="E48" s="73"/>
      <c r="F48" s="73"/>
      <c r="G48" s="157"/>
      <c r="H48" s="157"/>
      <c r="I48" s="101">
        <f>bs!I30</f>
        <v>1618.5</v>
      </c>
      <c r="J48" s="101">
        <f>bs!J30</f>
        <v>1700.2</v>
      </c>
      <c r="K48" s="105">
        <f>bs!K30</f>
        <v>1947.7</v>
      </c>
      <c r="L48" s="101">
        <f ca="1">bs!L30</f>
        <v>2122.6747941087633</v>
      </c>
      <c r="M48" s="101">
        <f ca="1">bs!M30</f>
        <v>2309.3715986941397</v>
      </c>
      <c r="N48" s="101">
        <f ca="1">bs!N30</f>
        <v>2507.8711866082317</v>
      </c>
      <c r="O48" s="101">
        <f ca="1">bs!O30</f>
        <v>2719.7282968485742</v>
      </c>
      <c r="P48" s="101">
        <f ca="1">bs!P30</f>
        <v>2946.4010376563087</v>
      </c>
    </row>
    <row r="49" spans="2:16" ht="13.15" customHeight="1">
      <c r="C49" s="73" t="s">
        <v>17</v>
      </c>
      <c r="D49" s="73"/>
      <c r="E49" s="73"/>
      <c r="F49" s="73"/>
      <c r="G49" s="157"/>
      <c r="H49" s="157"/>
      <c r="I49" s="173">
        <f t="shared" ref="I49:P49" si="13">I47+I48</f>
        <v>2870.6000000000004</v>
      </c>
      <c r="J49" s="173">
        <f t="shared" si="13"/>
        <v>2872</v>
      </c>
      <c r="K49" s="491">
        <f t="shared" si="13"/>
        <v>3180.8</v>
      </c>
      <c r="L49" s="173">
        <f t="shared" ca="1" si="13"/>
        <v>3206.3408000460267</v>
      </c>
      <c r="M49" s="173">
        <f t="shared" ca="1" si="13"/>
        <v>3246.3879568129723</v>
      </c>
      <c r="N49" s="173">
        <f t="shared" ca="1" si="13"/>
        <v>3324.571186608232</v>
      </c>
      <c r="O49" s="173">
        <f t="shared" ca="1" si="13"/>
        <v>3320.0998253623411</v>
      </c>
      <c r="P49" s="173">
        <f t="shared" ca="1" si="13"/>
        <v>3511.2010376563089</v>
      </c>
    </row>
    <row r="50" spans="2:16" ht="12.75">
      <c r="C50" t="s">
        <v>143</v>
      </c>
      <c r="H50" s="157"/>
      <c r="I50" s="174">
        <f t="shared" ref="I50:P50" si="14">IF(I49&gt;0,(I44-I45)/I49,0)</f>
        <v>0.14122702570891099</v>
      </c>
      <c r="J50" s="174">
        <f t="shared" si="14"/>
        <v>0.15309954735376038</v>
      </c>
      <c r="K50" s="492">
        <f t="shared" si="14"/>
        <v>0.14120350226358147</v>
      </c>
      <c r="L50" s="174">
        <f t="shared" ca="1" si="14"/>
        <v>0.14407005752667959</v>
      </c>
      <c r="M50" s="174">
        <f t="shared" ca="1" si="14"/>
        <v>0.15166961251731118</v>
      </c>
      <c r="N50" s="174">
        <f t="shared" ca="1" si="14"/>
        <v>0.15632815923002324</v>
      </c>
      <c r="O50" s="174">
        <f t="shared" ca="1" si="14"/>
        <v>0.16561639550425644</v>
      </c>
      <c r="P50" s="174">
        <f t="shared" ca="1" si="14"/>
        <v>0.1662281573631183</v>
      </c>
    </row>
    <row r="51" spans="2:16" ht="13.15" customHeight="1">
      <c r="C51" s="8" t="s">
        <v>18</v>
      </c>
      <c r="D51" s="73"/>
      <c r="E51" s="73"/>
      <c r="F51" s="73"/>
      <c r="G51" s="157"/>
      <c r="H51" s="157"/>
      <c r="I51" s="157"/>
      <c r="J51" s="157"/>
      <c r="K51" s="480"/>
      <c r="L51" s="157"/>
      <c r="M51" s="157"/>
      <c r="N51" s="157"/>
      <c r="O51" s="157"/>
    </row>
    <row r="52" spans="2:16" ht="4.9000000000000004" customHeight="1">
      <c r="C52" s="73"/>
      <c r="D52" s="73"/>
      <c r="E52" s="73"/>
      <c r="F52" s="73"/>
      <c r="G52" s="157"/>
      <c r="H52" s="171"/>
      <c r="I52" s="157"/>
      <c r="J52" s="157"/>
      <c r="K52" s="480"/>
      <c r="L52" s="157"/>
      <c r="M52" s="157"/>
      <c r="N52" s="157"/>
      <c r="O52" s="157"/>
      <c r="P52" s="157"/>
    </row>
    <row r="53" spans="2:16" ht="13.15" customHeight="1">
      <c r="B53" s="7" t="s">
        <v>19</v>
      </c>
      <c r="C53" s="73"/>
      <c r="D53" s="73"/>
      <c r="E53" s="73"/>
      <c r="F53" s="73"/>
      <c r="G53" s="157"/>
      <c r="H53" s="157"/>
      <c r="I53" s="175"/>
      <c r="J53" s="175"/>
      <c r="K53" s="490"/>
      <c r="L53" s="157"/>
      <c r="M53" s="157"/>
      <c r="N53" s="157"/>
      <c r="O53" s="157"/>
    </row>
    <row r="54" spans="2:16" ht="13.15" customHeight="1">
      <c r="B54" s="7"/>
      <c r="C54" s="186" t="s">
        <v>13</v>
      </c>
      <c r="D54" s="73"/>
      <c r="E54" s="187" t="s">
        <v>150</v>
      </c>
      <c r="G54" s="157"/>
      <c r="I54" s="207">
        <f t="shared" ref="I54:P54" si="15">I33</f>
        <v>31.9</v>
      </c>
      <c r="J54" s="207">
        <f t="shared" si="15"/>
        <v>32.700000000000003</v>
      </c>
      <c r="K54" s="493">
        <f t="shared" si="15"/>
        <v>37.6</v>
      </c>
      <c r="L54" s="207">
        <f t="shared" si="15"/>
        <v>23.6</v>
      </c>
      <c r="M54" s="207">
        <f t="shared" si="15"/>
        <v>20.100000000000001</v>
      </c>
      <c r="N54" s="207">
        <f t="shared" si="15"/>
        <v>14.1</v>
      </c>
      <c r="O54" s="207">
        <f t="shared" si="15"/>
        <v>10.6</v>
      </c>
      <c r="P54" s="207">
        <f t="shared" si="15"/>
        <v>8.9</v>
      </c>
    </row>
    <row r="55" spans="2:16" ht="13.15" customHeight="1">
      <c r="B55" s="7"/>
      <c r="C55" s="73"/>
      <c r="D55" s="73"/>
      <c r="E55" s="187" t="s">
        <v>154</v>
      </c>
      <c r="F55" s="73"/>
      <c r="G55" s="157"/>
      <c r="I55" s="208">
        <v>8</v>
      </c>
      <c r="J55" s="209">
        <f>I55</f>
        <v>8</v>
      </c>
      <c r="K55" s="494">
        <f>J55</f>
        <v>8</v>
      </c>
      <c r="L55" s="209">
        <f>J55</f>
        <v>8</v>
      </c>
      <c r="M55" s="209">
        <f>L55</f>
        <v>8</v>
      </c>
      <c r="N55" s="209">
        <f>M55</f>
        <v>8</v>
      </c>
      <c r="O55" s="209">
        <f>N55</f>
        <v>8</v>
      </c>
      <c r="P55" s="209">
        <f>O55</f>
        <v>8</v>
      </c>
    </row>
    <row r="56" spans="2:16" ht="13.15" customHeight="1">
      <c r="B56" s="7"/>
      <c r="C56" s="73"/>
      <c r="D56" s="73"/>
      <c r="E56" s="187" t="s">
        <v>155</v>
      </c>
      <c r="F56" s="73"/>
      <c r="G56" s="157"/>
      <c r="I56" s="173">
        <f t="shared" ref="I56:P56" si="16">I54*I55</f>
        <v>255.2</v>
      </c>
      <c r="J56" s="173">
        <f t="shared" si="16"/>
        <v>261.60000000000002</v>
      </c>
      <c r="K56" s="491">
        <f t="shared" si="16"/>
        <v>300.8</v>
      </c>
      <c r="L56" s="173">
        <f t="shared" si="16"/>
        <v>188.8</v>
      </c>
      <c r="M56" s="173">
        <f t="shared" si="16"/>
        <v>160.80000000000001</v>
      </c>
      <c r="N56" s="173">
        <f t="shared" si="16"/>
        <v>112.8</v>
      </c>
      <c r="O56" s="173">
        <f t="shared" si="16"/>
        <v>84.8</v>
      </c>
      <c r="P56" s="173">
        <f t="shared" si="16"/>
        <v>71.2</v>
      </c>
    </row>
    <row r="57" spans="2:16" ht="13.15" customHeight="1">
      <c r="B57" s="7"/>
      <c r="C57" s="73"/>
      <c r="D57" s="73"/>
      <c r="E57" s="73"/>
      <c r="F57" s="73"/>
      <c r="G57" s="157"/>
      <c r="H57" s="27"/>
      <c r="I57" s="175"/>
      <c r="J57" s="175"/>
      <c r="K57" s="490"/>
      <c r="L57" s="157"/>
      <c r="M57" s="157"/>
      <c r="N57" s="157"/>
      <c r="O57" s="157"/>
    </row>
    <row r="58" spans="2:16" ht="13.15" customHeight="1">
      <c r="C58" s="157" t="s">
        <v>144</v>
      </c>
      <c r="D58" s="157"/>
      <c r="E58" s="157"/>
      <c r="F58" s="157"/>
      <c r="G58" s="157"/>
      <c r="H58" s="177"/>
      <c r="I58" s="172">
        <f t="shared" ref="I58:P58" si="17">IF(I49,I47/I49,0)</f>
        <v>0.43618058942381382</v>
      </c>
      <c r="J58" s="172">
        <f t="shared" si="17"/>
        <v>0.40800835654596096</v>
      </c>
      <c r="K58" s="489">
        <f t="shared" si="17"/>
        <v>0.38766976861166996</v>
      </c>
      <c r="L58" s="172">
        <f t="shared" ca="1" si="17"/>
        <v>0.33797592755009315</v>
      </c>
      <c r="M58" s="172">
        <f t="shared" ca="1" si="17"/>
        <v>0.288633512255484</v>
      </c>
      <c r="N58" s="172">
        <f t="shared" ca="1" si="17"/>
        <v>0.24565574149525352</v>
      </c>
      <c r="O58" s="172">
        <f t="shared" ca="1" si="17"/>
        <v>0.18082936058955537</v>
      </c>
      <c r="P58" s="172">
        <f t="shared" ca="1" si="17"/>
        <v>0.16085663963490918</v>
      </c>
    </row>
    <row r="59" spans="2:16" ht="13.15" customHeight="1">
      <c r="C59" s="73" t="s">
        <v>20</v>
      </c>
      <c r="D59" s="73"/>
      <c r="E59" s="73"/>
      <c r="F59" s="73"/>
      <c r="G59" s="157"/>
      <c r="H59" s="177"/>
      <c r="I59" s="172">
        <f t="shared" ref="I59:P59" si="18">I47/I12</f>
        <v>1.9277906081601237</v>
      </c>
      <c r="J59" s="172">
        <f t="shared" si="18"/>
        <v>1.7161687170474522</v>
      </c>
      <c r="K59" s="489">
        <f t="shared" si="18"/>
        <v>1.7588075880758809</v>
      </c>
      <c r="L59" s="172">
        <f t="shared" ca="1" si="18"/>
        <v>1.4777825489645118</v>
      </c>
      <c r="M59" s="172">
        <f t="shared" ca="1" si="18"/>
        <v>1.2039953514006532</v>
      </c>
      <c r="N59" s="172">
        <f t="shared" ca="1" si="18"/>
        <v>0.98624426402955778</v>
      </c>
      <c r="O59" s="172">
        <f t="shared" ca="1" si="18"/>
        <v>0.67962179245924537</v>
      </c>
      <c r="P59" s="172">
        <f t="shared" ca="1" si="18"/>
        <v>0.59778852125698234</v>
      </c>
    </row>
    <row r="60" spans="2:16" ht="13.15" customHeight="1">
      <c r="C60" s="16" t="s">
        <v>156</v>
      </c>
      <c r="D60" s="73"/>
      <c r="E60" s="73"/>
      <c r="F60" s="73"/>
      <c r="G60" s="157"/>
      <c r="H60" s="177"/>
      <c r="I60" s="172">
        <f t="shared" ref="I60:P60" si="19">(I56+I47)/I34</f>
        <v>2.2120633988846499</v>
      </c>
      <c r="J60" s="172">
        <f t="shared" si="19"/>
        <v>2.0033542976939209</v>
      </c>
      <c r="K60" s="489">
        <f t="shared" si="19"/>
        <v>2.076485718153513</v>
      </c>
      <c r="L60" s="172">
        <f t="shared" ca="1" si="19"/>
        <v>1.6811425995815037</v>
      </c>
      <c r="M60" s="172">
        <f t="shared" ca="1" si="19"/>
        <v>1.3750966253835908</v>
      </c>
      <c r="N60" s="172">
        <f t="shared" ca="1" si="19"/>
        <v>1.1036688811765074</v>
      </c>
      <c r="O60" s="172">
        <f t="shared" ca="1" si="19"/>
        <v>0.76641913209928769</v>
      </c>
      <c r="P60" s="172">
        <f t="shared" ca="1" si="19"/>
        <v>0.66686537494473452</v>
      </c>
    </row>
    <row r="61" spans="2:16" ht="13.15" customHeight="1">
      <c r="C61" s="8" t="s">
        <v>18</v>
      </c>
      <c r="D61" s="73"/>
      <c r="E61" s="73"/>
      <c r="F61" s="73"/>
      <c r="G61" s="157"/>
      <c r="H61" s="157"/>
      <c r="I61" s="157"/>
      <c r="J61" s="157"/>
      <c r="K61" s="480"/>
      <c r="L61" s="157"/>
      <c r="M61" s="157"/>
      <c r="N61" s="157"/>
      <c r="O61" s="157"/>
    </row>
    <row r="62" spans="2:16" ht="4.9000000000000004" customHeight="1">
      <c r="C62" s="73"/>
      <c r="D62" s="73"/>
      <c r="E62" s="73"/>
      <c r="F62" s="73"/>
      <c r="G62" s="157"/>
      <c r="H62" s="157"/>
      <c r="I62" s="175"/>
      <c r="J62" s="175"/>
      <c r="K62" s="490"/>
      <c r="L62" s="157"/>
      <c r="M62" s="157"/>
      <c r="N62" s="157"/>
      <c r="O62" s="157"/>
    </row>
    <row r="63" spans="2:16" ht="13.15" customHeight="1">
      <c r="B63" s="7" t="s">
        <v>21</v>
      </c>
      <c r="C63" s="73"/>
      <c r="D63" s="73"/>
      <c r="E63" s="13"/>
      <c r="F63" s="13"/>
      <c r="G63" s="157"/>
      <c r="H63" s="162"/>
      <c r="I63" s="178"/>
      <c r="J63" s="178"/>
      <c r="K63" s="495"/>
      <c r="L63" s="157"/>
      <c r="M63" s="157"/>
      <c r="N63" s="157"/>
      <c r="O63" s="157"/>
    </row>
    <row r="64" spans="2:16" ht="13.15" customHeight="1" outlineLevel="1">
      <c r="C64" s="73"/>
      <c r="D64" s="73"/>
      <c r="F64" s="179" t="s">
        <v>11</v>
      </c>
      <c r="G64" s="157"/>
      <c r="H64" s="162" t="s">
        <v>88</v>
      </c>
      <c r="I64" s="26">
        <f>bs!I7</f>
        <v>53.9</v>
      </c>
      <c r="J64" s="26">
        <f>bs!J7</f>
        <v>79</v>
      </c>
      <c r="K64" s="95">
        <f>bs!K7</f>
        <v>63</v>
      </c>
      <c r="L64" s="26">
        <f ca="1">bs!L7</f>
        <v>50</v>
      </c>
      <c r="M64" s="26">
        <f ca="1">bs!M7</f>
        <v>50</v>
      </c>
      <c r="N64" s="26">
        <f ca="1">bs!N7</f>
        <v>90.16706277866399</v>
      </c>
      <c r="O64" s="26">
        <f ca="1">bs!O7</f>
        <v>50</v>
      </c>
      <c r="P64" s="26">
        <f ca="1">bs!P7</f>
        <v>208.07308978198262</v>
      </c>
    </row>
    <row r="65" spans="1:18" ht="13.15" customHeight="1" outlineLevel="1">
      <c r="C65" s="73"/>
      <c r="D65" s="73"/>
      <c r="E65" s="73"/>
      <c r="F65" s="73"/>
      <c r="G65" s="157"/>
      <c r="H65" s="162" t="s">
        <v>22</v>
      </c>
      <c r="I65" s="101">
        <f>bs!I8</f>
        <v>427</v>
      </c>
      <c r="J65" s="101">
        <f>bs!J8</f>
        <v>465.9</v>
      </c>
      <c r="K65" s="105">
        <f>bs!K8</f>
        <v>495.5</v>
      </c>
      <c r="L65" s="101">
        <f>bs!L8</f>
        <v>511.07566027397257</v>
      </c>
      <c r="M65" s="101">
        <f>bs!M8</f>
        <v>533.05191366575332</v>
      </c>
      <c r="N65" s="101">
        <f>bs!N8</f>
        <v>557.5723016943781</v>
      </c>
      <c r="O65" s="101">
        <f>bs!O8</f>
        <v>584.89334447740259</v>
      </c>
      <c r="P65" s="101">
        <f>bs!P8</f>
        <v>615.3077983902275</v>
      </c>
    </row>
    <row r="66" spans="1:18" ht="13.15" customHeight="1" outlineLevel="1">
      <c r="C66" s="73"/>
      <c r="D66" s="73"/>
      <c r="E66" s="73"/>
      <c r="F66" s="73"/>
      <c r="G66" s="168"/>
      <c r="H66" s="162" t="s">
        <v>23</v>
      </c>
      <c r="I66" s="173">
        <f t="shared" ref="I66:P66" si="20">SUM(I64:I65)</f>
        <v>480.9</v>
      </c>
      <c r="J66" s="173">
        <f t="shared" si="20"/>
        <v>544.9</v>
      </c>
      <c r="K66" s="491">
        <f t="shared" si="20"/>
        <v>558.5</v>
      </c>
      <c r="L66" s="173">
        <f t="shared" ca="1" si="20"/>
        <v>561.07566027397252</v>
      </c>
      <c r="M66" s="173">
        <f t="shared" ca="1" si="20"/>
        <v>583.05191366575332</v>
      </c>
      <c r="N66" s="173">
        <f t="shared" ca="1" si="20"/>
        <v>647.73936447304209</v>
      </c>
      <c r="O66" s="173">
        <f t="shared" ca="1" si="20"/>
        <v>634.89334447740259</v>
      </c>
      <c r="P66" s="173">
        <f t="shared" ca="1" si="20"/>
        <v>823.38088817221012</v>
      </c>
    </row>
    <row r="67" spans="1:18" s="157" customFormat="1" ht="4.9000000000000004" customHeight="1" outlineLevel="1">
      <c r="A67" s="642"/>
      <c r="B67"/>
      <c r="G67" s="168"/>
      <c r="H67" s="162"/>
      <c r="I67" s="20"/>
      <c r="J67" s="20"/>
      <c r="K67" s="97"/>
      <c r="L67" s="173"/>
      <c r="M67" s="173"/>
      <c r="N67" s="173"/>
      <c r="O67" s="173"/>
      <c r="P67" s="173"/>
    </row>
    <row r="68" spans="1:18" ht="13.15" customHeight="1" outlineLevel="1">
      <c r="C68" s="73"/>
      <c r="D68" s="73"/>
      <c r="E68" s="73"/>
      <c r="F68" s="73"/>
      <c r="G68" s="157"/>
      <c r="H68" s="162" t="s">
        <v>24</v>
      </c>
      <c r="I68" s="26">
        <f>bs!I9</f>
        <v>613.70000000000005</v>
      </c>
      <c r="J68" s="26">
        <f>bs!J9</f>
        <v>615</v>
      </c>
      <c r="K68" s="95">
        <f>bs!K9</f>
        <v>676.9</v>
      </c>
      <c r="L68" s="26">
        <f>bs!L9</f>
        <v>679.48390198356151</v>
      </c>
      <c r="M68" s="26">
        <f>bs!M9</f>
        <v>699.2783322606025</v>
      </c>
      <c r="N68" s="26">
        <f>bs!N9</f>
        <v>721.63955368720656</v>
      </c>
      <c r="O68" s="26">
        <f>bs!O9</f>
        <v>746.76761974552778</v>
      </c>
      <c r="P68" s="26">
        <f>bs!P9</f>
        <v>774.89176577961928</v>
      </c>
    </row>
    <row r="69" spans="1:18" ht="13.15" customHeight="1" outlineLevel="1">
      <c r="C69" s="73"/>
      <c r="D69" s="73"/>
      <c r="E69" s="73"/>
      <c r="F69" s="73"/>
      <c r="G69" s="168"/>
      <c r="H69" s="162" t="s">
        <v>25</v>
      </c>
      <c r="I69" s="101">
        <f>bs!I11</f>
        <v>1222.8999999999999</v>
      </c>
      <c r="J69" s="101">
        <f>bs!J11</f>
        <v>1285.4000000000001</v>
      </c>
      <c r="K69" s="105">
        <f>bs!K11</f>
        <v>1370.2</v>
      </c>
      <c r="L69" s="101">
        <f ca="1">bs!L11</f>
        <v>1382.0746502575339</v>
      </c>
      <c r="M69" s="101">
        <f ca="1">bs!M11</f>
        <v>1429.9304827103558</v>
      </c>
      <c r="N69" s="101">
        <f ca="1">bs!N11</f>
        <v>1523.7687658363127</v>
      </c>
      <c r="O69" s="101">
        <f ca="1">bs!O11</f>
        <v>1543.6159144351216</v>
      </c>
      <c r="P69" s="25">
        <f ca="1">bs!P11</f>
        <v>1768.6492615750544</v>
      </c>
    </row>
    <row r="70" spans="1:18" s="157" customFormat="1" ht="4.9000000000000004" customHeight="1" outlineLevel="1">
      <c r="A70" s="642"/>
      <c r="B70"/>
      <c r="G70" s="168"/>
      <c r="H70" s="162"/>
      <c r="I70" s="20"/>
      <c r="J70" s="20"/>
      <c r="K70" s="97"/>
      <c r="L70" s="173"/>
      <c r="M70" s="173"/>
      <c r="N70" s="173"/>
      <c r="O70" s="173"/>
      <c r="P70" s="173"/>
    </row>
    <row r="71" spans="1:18" ht="13.15" customHeight="1" outlineLevel="1">
      <c r="C71" s="73"/>
      <c r="D71" s="73"/>
      <c r="E71" s="73"/>
      <c r="F71" s="73"/>
      <c r="G71" s="157"/>
      <c r="H71" s="162" t="s">
        <v>90</v>
      </c>
      <c r="I71" s="26">
        <f>bs!I13</f>
        <v>523.1</v>
      </c>
      <c r="J71" s="26">
        <f>bs!J13</f>
        <v>547.29999999999995</v>
      </c>
      <c r="K71" s="95">
        <f>bs!K13</f>
        <v>576.6</v>
      </c>
      <c r="L71" s="26">
        <f>bs!L13</f>
        <v>592.6</v>
      </c>
      <c r="M71" s="26">
        <f>bs!M13</f>
        <v>607.62838774528007</v>
      </c>
      <c r="N71" s="26">
        <f>bs!N13</f>
        <v>618.10818346632198</v>
      </c>
      <c r="O71" s="26">
        <f>bs!O13</f>
        <v>623.6048363220084</v>
      </c>
      <c r="P71" s="26">
        <f>bs!P13</f>
        <v>623.6048363220084</v>
      </c>
    </row>
    <row r="72" spans="1:18" ht="13.15" customHeight="1" outlineLevel="1">
      <c r="C72" s="73"/>
      <c r="D72" s="73"/>
      <c r="E72" s="73"/>
      <c r="F72" s="73"/>
      <c r="G72" s="157"/>
      <c r="H72" s="162" t="s">
        <v>26</v>
      </c>
      <c r="I72" s="101">
        <f>bs!I19</f>
        <v>4087.7999999999997</v>
      </c>
      <c r="J72" s="101">
        <f>bs!J19</f>
        <v>4165.3999999999996</v>
      </c>
      <c r="K72" s="105">
        <f>bs!K19</f>
        <v>4449.7000000000007</v>
      </c>
      <c r="L72" s="101">
        <f ca="1">bs!L19</f>
        <v>4487.9196502575332</v>
      </c>
      <c r="M72" s="101">
        <f ca="1">bs!M19</f>
        <v>4561.8488704556348</v>
      </c>
      <c r="N72" s="101">
        <f ca="1">bs!N19</f>
        <v>4677.9119493026337</v>
      </c>
      <c r="O72" s="101">
        <f ca="1">bs!O19</f>
        <v>4715.7007507571298</v>
      </c>
      <c r="P72" s="25">
        <f ca="1">bs!P19</f>
        <v>4953.8790978970619</v>
      </c>
    </row>
    <row r="73" spans="1:18" s="157" customFormat="1" ht="4.9000000000000004" customHeight="1" outlineLevel="1">
      <c r="A73" s="642"/>
      <c r="B73"/>
      <c r="H73" s="162"/>
      <c r="I73" s="20"/>
      <c r="J73" s="20"/>
      <c r="K73" s="97"/>
      <c r="L73" s="173"/>
      <c r="M73" s="173"/>
      <c r="N73" s="173"/>
      <c r="O73" s="173"/>
      <c r="P73" s="173"/>
    </row>
    <row r="74" spans="1:18" ht="13.15" customHeight="1" outlineLevel="1">
      <c r="C74" s="73"/>
      <c r="D74" s="73"/>
      <c r="E74" s="73"/>
      <c r="F74" s="73"/>
      <c r="G74" s="157"/>
      <c r="H74" s="162" t="s">
        <v>74</v>
      </c>
      <c r="I74" s="26">
        <f>bs!I21</f>
        <v>366.6</v>
      </c>
      <c r="J74" s="26">
        <f>bs!J21</f>
        <v>375.8</v>
      </c>
      <c r="K74" s="95">
        <f>bs!K21</f>
        <v>387.3</v>
      </c>
      <c r="L74" s="26">
        <f>bs!L21</f>
        <v>399.6964129315067</v>
      </c>
      <c r="M74" s="26">
        <f>bs!M21</f>
        <v>415.4128706498629</v>
      </c>
      <c r="N74" s="26">
        <f>bs!N21</f>
        <v>432.98373221232384</v>
      </c>
      <c r="O74" s="26">
        <f>bs!O21</f>
        <v>452.58643620941069</v>
      </c>
      <c r="P74" s="24">
        <f>bs!P21</f>
        <v>474.42353006915465</v>
      </c>
    </row>
    <row r="75" spans="1:18" ht="13.15" customHeight="1" outlineLevel="1">
      <c r="C75" s="73"/>
      <c r="D75" s="73"/>
      <c r="E75" s="73"/>
      <c r="F75" s="73"/>
      <c r="G75" s="157"/>
      <c r="H75" s="162" t="s">
        <v>27</v>
      </c>
      <c r="I75" s="101">
        <f>bs!I23</f>
        <v>770.90000000000009</v>
      </c>
      <c r="J75" s="101">
        <f>bs!J23</f>
        <v>795</v>
      </c>
      <c r="K75" s="105">
        <f>bs!K23</f>
        <v>849</v>
      </c>
      <c r="L75" s="101">
        <f>bs!L23</f>
        <v>861.67885021150664</v>
      </c>
      <c r="M75" s="101">
        <f>bs!M23</f>
        <v>895.56091364266274</v>
      </c>
      <c r="N75" s="101">
        <f>bs!N23</f>
        <v>933.44076269440154</v>
      </c>
      <c r="O75" s="101">
        <f>bs!O23</f>
        <v>975.70092539478787</v>
      </c>
      <c r="P75" s="25">
        <f>bs!P23</f>
        <v>1022.7780602407527</v>
      </c>
    </row>
    <row r="76" spans="1:18" ht="13.15" customHeight="1" outlineLevel="1">
      <c r="C76" s="73"/>
      <c r="D76" s="73"/>
      <c r="E76" s="73"/>
      <c r="F76" s="73"/>
      <c r="G76" s="157"/>
      <c r="H76" s="162"/>
      <c r="I76" s="180"/>
      <c r="J76" s="180"/>
      <c r="K76" s="496"/>
      <c r="L76" s="157"/>
      <c r="M76" s="157"/>
      <c r="N76" s="157"/>
      <c r="O76" s="157"/>
    </row>
    <row r="77" spans="1:18" ht="13.15" customHeight="1" collapsed="1">
      <c r="C77" s="157" t="s">
        <v>28</v>
      </c>
      <c r="D77" s="157"/>
      <c r="E77" s="157"/>
      <c r="F77" s="157"/>
      <c r="G77" s="157"/>
      <c r="H77" s="157"/>
      <c r="I77" s="207">
        <f t="shared" ref="I77:P77" si="21">I69-I75</f>
        <v>451.99999999999977</v>
      </c>
      <c r="J77" s="207">
        <f t="shared" si="21"/>
        <v>490.40000000000009</v>
      </c>
      <c r="K77" s="493">
        <f t="shared" si="21"/>
        <v>521.20000000000005</v>
      </c>
      <c r="L77" s="207">
        <f t="shared" ca="1" si="21"/>
        <v>520.39580004602726</v>
      </c>
      <c r="M77" s="207">
        <f t="shared" ca="1" si="21"/>
        <v>534.36956906769308</v>
      </c>
      <c r="N77" s="207">
        <f t="shared" ca="1" si="21"/>
        <v>590.32800314191115</v>
      </c>
      <c r="O77" s="207">
        <f t="shared" ca="1" si="21"/>
        <v>567.91498904033369</v>
      </c>
      <c r="P77" s="207">
        <f t="shared" ca="1" si="21"/>
        <v>745.87120133430176</v>
      </c>
      <c r="R77" s="181"/>
    </row>
    <row r="78" spans="1:18" ht="13.15" customHeight="1">
      <c r="C78" s="73" t="s">
        <v>29</v>
      </c>
      <c r="D78" s="73"/>
      <c r="E78" s="73"/>
      <c r="F78" s="73"/>
      <c r="G78" s="157"/>
      <c r="H78" s="177"/>
      <c r="I78" s="172">
        <f t="shared" ref="I78:P78" si="22">I69/I75</f>
        <v>1.5863276689583601</v>
      </c>
      <c r="J78" s="172">
        <f t="shared" si="22"/>
        <v>1.6168553459119499</v>
      </c>
      <c r="K78" s="489">
        <f t="shared" si="22"/>
        <v>1.6138987043580684</v>
      </c>
      <c r="L78" s="172">
        <f t="shared" ca="1" si="22"/>
        <v>1.6039324278625284</v>
      </c>
      <c r="M78" s="172">
        <f t="shared" ca="1" si="22"/>
        <v>1.5966870158436945</v>
      </c>
      <c r="N78" s="172">
        <f t="shared" ca="1" si="22"/>
        <v>1.6324214955407708</v>
      </c>
      <c r="O78" s="172">
        <f t="shared" ca="1" si="22"/>
        <v>1.5820584712580283</v>
      </c>
      <c r="P78" s="172">
        <f t="shared" ca="1" si="22"/>
        <v>1.7292600714946216</v>
      </c>
    </row>
    <row r="79" spans="1:18" ht="13.15" customHeight="1">
      <c r="C79" s="73" t="s">
        <v>30</v>
      </c>
      <c r="D79" s="73"/>
      <c r="E79" s="73"/>
      <c r="F79" s="73"/>
      <c r="G79" s="157"/>
      <c r="H79" s="177"/>
      <c r="I79" s="172">
        <f t="shared" ref="I79:P79" si="23">I66/I75</f>
        <v>0.62381631858866249</v>
      </c>
      <c r="J79" s="172">
        <f t="shared" si="23"/>
        <v>0.68540880503144652</v>
      </c>
      <c r="K79" s="489">
        <f t="shared" si="23"/>
        <v>0.65783274440518258</v>
      </c>
      <c r="L79" s="172">
        <f t="shared" ca="1" si="23"/>
        <v>0.65114242984639992</v>
      </c>
      <c r="M79" s="172">
        <f t="shared" ca="1" si="23"/>
        <v>0.65104662874824448</v>
      </c>
      <c r="N79" s="172">
        <f t="shared" ca="1" si="23"/>
        <v>0.69392658898174231</v>
      </c>
      <c r="O79" s="172">
        <f t="shared" ca="1" si="23"/>
        <v>0.65070487067593197</v>
      </c>
      <c r="P79" s="172">
        <f t="shared" ca="1" si="23"/>
        <v>0.80504355752253209</v>
      </c>
    </row>
    <row r="80" spans="1:18" ht="4.9000000000000004" customHeight="1">
      <c r="B80" s="73"/>
      <c r="C80" s="73"/>
      <c r="D80" s="73"/>
      <c r="E80" s="73"/>
      <c r="F80" s="73"/>
      <c r="G80" s="157"/>
      <c r="H80" s="177"/>
      <c r="I80" s="157"/>
      <c r="J80" s="157"/>
      <c r="K80" s="480"/>
      <c r="M80" s="157"/>
      <c r="N80" s="157"/>
      <c r="O80" s="157"/>
    </row>
    <row r="81" spans="1:17" ht="13.15" customHeight="1">
      <c r="A81" s="642" t="s">
        <v>43</v>
      </c>
      <c r="B81" s="7" t="s">
        <v>31</v>
      </c>
      <c r="C81" s="73"/>
      <c r="D81" s="73"/>
      <c r="H81" s="157"/>
      <c r="I81" s="175"/>
      <c r="J81" s="175"/>
      <c r="K81" s="490"/>
      <c r="L81" s="157"/>
      <c r="M81" s="157"/>
      <c r="N81" s="157"/>
      <c r="O81" s="157"/>
    </row>
    <row r="82" spans="1:17" ht="13.15" customHeight="1">
      <c r="B82" s="73"/>
      <c r="C82" s="157" t="s">
        <v>32</v>
      </c>
      <c r="D82" s="73"/>
      <c r="E82" s="73"/>
      <c r="F82" s="73"/>
      <c r="H82" s="177"/>
      <c r="I82" s="101">
        <f>workingcap!I26</f>
        <v>42.150313717005623</v>
      </c>
      <c r="J82" s="101">
        <f>workingcap!J26</f>
        <v>42.362986398286083</v>
      </c>
      <c r="K82" s="105">
        <f>workingcap!K26</f>
        <v>43.861255274773249</v>
      </c>
      <c r="L82" s="101">
        <f>workingcap!L26</f>
        <v>43.5</v>
      </c>
      <c r="M82" s="101">
        <f>workingcap!M26</f>
        <v>43.5</v>
      </c>
      <c r="N82" s="101">
        <f>workingcap!N26</f>
        <v>43.5</v>
      </c>
      <c r="O82" s="101">
        <f>workingcap!O26</f>
        <v>43.5</v>
      </c>
      <c r="P82" s="101">
        <f>workingcap!P26</f>
        <v>43.5</v>
      </c>
    </row>
    <row r="83" spans="1:17" ht="13.15" customHeight="1">
      <c r="B83" s="73"/>
      <c r="C83" s="157" t="s">
        <v>33</v>
      </c>
      <c r="D83" s="73"/>
      <c r="E83" s="73"/>
      <c r="F83" s="73"/>
      <c r="G83" s="157"/>
      <c r="H83" s="177"/>
      <c r="I83" s="101">
        <f>workingcap!I27</f>
        <v>107.68737079948082</v>
      </c>
      <c r="J83" s="101">
        <f>workingcap!J27</f>
        <v>97.687018582183725</v>
      </c>
      <c r="K83" s="105">
        <f>workingcap!K27</f>
        <v>104.83218771215206</v>
      </c>
      <c r="L83" s="101">
        <f>workingcap!L27</f>
        <v>102</v>
      </c>
      <c r="M83" s="101">
        <f>workingcap!M27</f>
        <v>101</v>
      </c>
      <c r="N83" s="101">
        <f>workingcap!N27</f>
        <v>100</v>
      </c>
      <c r="O83" s="101">
        <f>workingcap!O27</f>
        <v>99</v>
      </c>
      <c r="P83" s="101">
        <f>workingcap!P27</f>
        <v>98</v>
      </c>
    </row>
    <row r="84" spans="1:17" ht="13.15" customHeight="1">
      <c r="B84" s="73"/>
      <c r="C84" s="157" t="s">
        <v>34</v>
      </c>
      <c r="D84" s="73"/>
      <c r="E84" s="73"/>
      <c r="F84" s="73"/>
      <c r="G84" s="157"/>
      <c r="H84" s="177"/>
      <c r="I84" s="101">
        <f>workingcap!I30</f>
        <v>64.328157300129803</v>
      </c>
      <c r="J84" s="101">
        <f>workingcap!J30</f>
        <v>59.692327777536015</v>
      </c>
      <c r="K84" s="105">
        <f>workingcap!K30</f>
        <v>59.981542769857448</v>
      </c>
      <c r="L84" s="101">
        <f>workingcap!L30</f>
        <v>60</v>
      </c>
      <c r="M84" s="101">
        <f>workingcap!M30</f>
        <v>60</v>
      </c>
      <c r="N84" s="101">
        <f>workingcap!N30</f>
        <v>60</v>
      </c>
      <c r="O84" s="101">
        <f>workingcap!O30</f>
        <v>60</v>
      </c>
      <c r="P84" s="101">
        <f>workingcap!P30</f>
        <v>60</v>
      </c>
    </row>
    <row r="85" spans="1:17" ht="13.15" customHeight="1">
      <c r="B85" s="73"/>
      <c r="C85" s="73" t="s">
        <v>35</v>
      </c>
      <c r="D85" s="73"/>
      <c r="E85" s="73"/>
      <c r="F85" s="73"/>
      <c r="G85" s="157"/>
      <c r="H85" s="177"/>
      <c r="I85" s="172">
        <f t="shared" ref="I85:P85" si="24">I6/I71</f>
        <v>7.06862932517683</v>
      </c>
      <c r="J85" s="172">
        <f t="shared" si="24"/>
        <v>7.3345514343139051</v>
      </c>
      <c r="K85" s="489">
        <f t="shared" si="24"/>
        <v>7.1512313562261527</v>
      </c>
      <c r="L85" s="172">
        <f t="shared" si="24"/>
        <v>7.2364765440431977</v>
      </c>
      <c r="M85" s="172">
        <f t="shared" si="24"/>
        <v>7.3609701886985981</v>
      </c>
      <c r="N85" s="172">
        <f t="shared" si="24"/>
        <v>7.5690313730701639</v>
      </c>
      <c r="O85" s="172">
        <f t="shared" si="24"/>
        <v>7.8699289648735311</v>
      </c>
      <c r="P85" s="172">
        <f t="shared" si="24"/>
        <v>8.2791652710469563</v>
      </c>
      <c r="Q85" s="172"/>
    </row>
    <row r="86" spans="1:17" ht="13.15" customHeight="1">
      <c r="B86" s="73"/>
      <c r="C86" s="73" t="s">
        <v>36</v>
      </c>
      <c r="D86" s="73"/>
      <c r="E86" s="73"/>
      <c r="F86" s="73"/>
      <c r="G86" s="157"/>
      <c r="H86" s="177"/>
      <c r="I86" s="172">
        <f t="shared" ref="I86:P86" si="25">I6/I72</f>
        <v>0.90454523215421501</v>
      </c>
      <c r="J86" s="172">
        <f t="shared" si="25"/>
        <v>0.96370096509338843</v>
      </c>
      <c r="K86" s="489">
        <f t="shared" si="25"/>
        <v>0.92666921365485289</v>
      </c>
      <c r="L86" s="172">
        <f t="shared" ca="1" si="25"/>
        <v>0.9555286935125763</v>
      </c>
      <c r="M86" s="172">
        <f t="shared" ca="1" si="25"/>
        <v>0.98046528392626586</v>
      </c>
      <c r="N86" s="172">
        <f t="shared" ca="1" si="25"/>
        <v>1.0001214822577946</v>
      </c>
      <c r="O86" s="172">
        <f t="shared" ca="1" si="25"/>
        <v>1.0407203559763267</v>
      </c>
      <c r="P86" s="172">
        <f t="shared" ca="1" si="25"/>
        <v>1.042198931727214</v>
      </c>
      <c r="Q86" s="172"/>
    </row>
    <row r="87" spans="1:17" ht="4.9000000000000004" customHeight="1">
      <c r="B87" s="73"/>
      <c r="C87" s="73"/>
      <c r="D87" s="73"/>
      <c r="E87" s="73"/>
      <c r="F87" s="73"/>
      <c r="G87" s="157"/>
      <c r="H87" s="177"/>
      <c r="I87" s="157"/>
      <c r="J87" s="157"/>
      <c r="K87" s="480"/>
      <c r="M87" s="157"/>
      <c r="N87" s="157"/>
      <c r="O87" s="157"/>
    </row>
    <row r="88" spans="1:17" ht="13.15" customHeight="1">
      <c r="B88" s="7" t="s">
        <v>37</v>
      </c>
      <c r="G88" s="157"/>
      <c r="H88" s="157"/>
      <c r="I88" s="157"/>
      <c r="J88" s="157"/>
      <c r="K88" s="480"/>
      <c r="L88" s="157"/>
      <c r="M88" s="157"/>
      <c r="N88" s="157"/>
      <c r="O88" s="157"/>
    </row>
    <row r="89" spans="1:17" ht="13.15" customHeight="1">
      <c r="C89" t="s">
        <v>36</v>
      </c>
      <c r="H89" s="157"/>
      <c r="I89" s="172">
        <f t="shared" ref="I89:P89" si="26">I6/I72</f>
        <v>0.90454523215421501</v>
      </c>
      <c r="J89" s="172">
        <f t="shared" si="26"/>
        <v>0.96370096509338843</v>
      </c>
      <c r="K89" s="489">
        <f t="shared" si="26"/>
        <v>0.92666921365485289</v>
      </c>
      <c r="L89" s="172">
        <f t="shared" ca="1" si="26"/>
        <v>0.9555286935125763</v>
      </c>
      <c r="M89" s="172">
        <f t="shared" ca="1" si="26"/>
        <v>0.98046528392626586</v>
      </c>
      <c r="N89" s="172">
        <f t="shared" ca="1" si="26"/>
        <v>1.0001214822577946</v>
      </c>
      <c r="O89" s="172">
        <f t="shared" ca="1" si="26"/>
        <v>1.0407203559763267</v>
      </c>
      <c r="P89" s="172">
        <f t="shared" ca="1" si="26"/>
        <v>1.042198931727214</v>
      </c>
      <c r="Q89" s="172"/>
    </row>
    <row r="90" spans="1:17" ht="13.15" customHeight="1">
      <c r="C90" t="s">
        <v>38</v>
      </c>
      <c r="H90" s="157"/>
      <c r="I90" s="182">
        <f t="shared" ref="I90:P90" si="27">IF(I48&lt;0,"NM  ",I72/I48)</f>
        <v>2.5256719184430025</v>
      </c>
      <c r="J90" s="182">
        <f t="shared" si="27"/>
        <v>2.4499470650511701</v>
      </c>
      <c r="K90" s="497">
        <f t="shared" si="27"/>
        <v>2.2845920829696569</v>
      </c>
      <c r="L90" s="182">
        <f t="shared" ca="1" si="27"/>
        <v>2.1142756595184675</v>
      </c>
      <c r="M90" s="182">
        <f t="shared" ca="1" si="27"/>
        <v>1.9753637193057989</v>
      </c>
      <c r="N90" s="182">
        <f t="shared" ca="1" si="27"/>
        <v>1.8652919552974616</v>
      </c>
      <c r="O90" s="182">
        <f t="shared" ca="1" si="27"/>
        <v>1.7338867107502411</v>
      </c>
      <c r="P90" s="182">
        <f t="shared" ca="1" si="27"/>
        <v>1.6813322540225499</v>
      </c>
      <c r="Q90" s="172"/>
    </row>
    <row r="91" spans="1:17" ht="12.75">
      <c r="B91" s="141"/>
      <c r="C91" s="141"/>
      <c r="D91" s="141"/>
      <c r="E91" s="141"/>
      <c r="F91" s="141"/>
      <c r="G91" s="141"/>
      <c r="H91" s="141"/>
    </row>
    <row r="92" spans="1:17" ht="12.75">
      <c r="B92" s="333"/>
      <c r="C92" s="314"/>
      <c r="D92" s="141"/>
      <c r="E92" s="141"/>
      <c r="F92" s="141"/>
      <c r="G92" s="141"/>
      <c r="H92" s="141"/>
      <c r="I92" s="141"/>
    </row>
    <row r="95" spans="1:17" ht="12.75">
      <c r="A95" s="642" t="s">
        <v>43</v>
      </c>
      <c r="B95" s="69" t="s">
        <v>49</v>
      </c>
      <c r="N95" s="183"/>
      <c r="O95" s="183"/>
      <c r="P95" s="183"/>
    </row>
  </sheetData>
  <phoneticPr fontId="9" type="noConversion"/>
  <pageMargins left="0.5" right="0.5" top="0.5" bottom="0.6" header="0.2" footer="0.25"/>
  <pageSetup orientation="portrait" r:id="rId1"/>
  <headerFooter alignWithMargins="0">
    <oddFooter>&amp;C&amp;8&amp;G&amp;R&amp;8For training purposes only!&amp;L&amp;8COPYRIGHT 2017 © by Training The Street, Inc</oddFooter>
  </headerFooter>
  <drawing r:id="rId2"/>
  <legacyDrawing r:id="rId3"/>
  <legacyDrawingHF r:id="rId4"/>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36</vt:i4>
      </vt:variant>
    </vt:vector>
  </HeadingPairs>
  <TitlesOfParts>
    <vt:vector size="52" baseType="lpstr">
      <vt:lpstr>TTS</vt:lpstr>
      <vt:lpstr>inputs</vt:lpstr>
      <vt:lpstr>is</vt:lpstr>
      <vt:lpstr>bs</vt:lpstr>
      <vt:lpstr>cf</vt:lpstr>
      <vt:lpstr>workingcap</vt:lpstr>
      <vt:lpstr>dep</vt:lpstr>
      <vt:lpstr>amort</vt:lpstr>
      <vt:lpstr>other</vt:lpstr>
      <vt:lpstr>equity</vt:lpstr>
      <vt:lpstr>shares</vt:lpstr>
      <vt:lpstr>debt_interest</vt:lpstr>
      <vt:lpstr>DCF</vt:lpstr>
      <vt:lpstr>DCF_Completed</vt:lpstr>
      <vt:lpstr>reconciliations</vt:lpstr>
      <vt:lpstr>ratios</vt:lpstr>
      <vt:lpstr>amort</vt:lpstr>
      <vt:lpstr>bs</vt:lpstr>
      <vt:lpstr>cf</vt:lpstr>
      <vt:lpstr>days</vt:lpstr>
      <vt:lpstr>DCF</vt:lpstr>
      <vt:lpstr>DCF_Completed</vt:lpstr>
      <vt:lpstr>debt</vt:lpstr>
      <vt:lpstr>dep</vt:lpstr>
      <vt:lpstr>equity</vt:lpstr>
      <vt:lpstr>FYE</vt:lpstr>
      <vt:lpstr>inputs</vt:lpstr>
      <vt:lpstr>is</vt:lpstr>
      <vt:lpstr>name</vt:lpstr>
      <vt:lpstr>other</vt:lpstr>
      <vt:lpstr>amort!Print_Area</vt:lpstr>
      <vt:lpstr>bs!Print_Area</vt:lpstr>
      <vt:lpstr>cf!Print_Area</vt:lpstr>
      <vt:lpstr>DCF!Print_Area</vt:lpstr>
      <vt:lpstr>DCF_Completed!Print_Area</vt:lpstr>
      <vt:lpstr>debt_interest!Print_Area</vt:lpstr>
      <vt:lpstr>dep!Print_Area</vt:lpstr>
      <vt:lpstr>equity!Print_Area</vt:lpstr>
      <vt:lpstr>inputs!Print_Area</vt:lpstr>
      <vt:lpstr>is!Print_Area</vt:lpstr>
      <vt:lpstr>other!Print_Area</vt:lpstr>
      <vt:lpstr>ratios!Print_Area</vt:lpstr>
      <vt:lpstr>reconciliations!Print_Area</vt:lpstr>
      <vt:lpstr>shares!Print_Area</vt:lpstr>
      <vt:lpstr>workingcap!Print_Area</vt:lpstr>
      <vt:lpstr>ratios!Print_Titles</vt:lpstr>
      <vt:lpstr>ratios!Ratios</vt:lpstr>
      <vt:lpstr>reconciliations</vt:lpstr>
      <vt:lpstr>shares</vt:lpstr>
      <vt:lpstr>Subheader</vt:lpstr>
      <vt:lpstr>TTS!TTS</vt:lpstr>
      <vt:lpstr>workingcap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 The Street, Inc.</dc:creator>
  <cp:lastModifiedBy>Long, Austin</cp:lastModifiedBy>
  <cp:lastPrinted>2014-11-06T03:08:23Z</cp:lastPrinted>
  <dcterms:created xsi:type="dcterms:W3CDTF">2000-04-02T00:50:24Z</dcterms:created>
  <dcterms:modified xsi:type="dcterms:W3CDTF">2018-08-31T22:42:37Z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
    <vt:lpwstr>.</vt:lpwstr>
  </property>
</Properties>
</file>